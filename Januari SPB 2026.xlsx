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580" firstSheet="1" activeTab="1"/>
  </bookViews>
  <sheets>
    <sheet name="Chart1" sheetId="9" r:id="rId1"/>
    <sheet name="LAP. SPB" sheetId="1" r:id="rId2"/>
    <sheet name="REKAP" sheetId="11" r:id="rId3"/>
  </sheets>
  <definedNames>
    <definedName name="Indonesia" localSheetId="2">REKAP!$E$10:$E$14</definedName>
    <definedName name="Indonesia">'LAP. SPB'!$E$10:$E$15</definedName>
    <definedName name="_xlnm.Print_Area" localSheetId="1">'LAP. SPB'!$A$1:$P$209</definedName>
    <definedName name="_xlnm.Print_Area" localSheetId="2">REKAP!$A$1:$M$39</definedName>
    <definedName name="SELAYAR" localSheetId="2">REKAP!$G$10</definedName>
    <definedName name="SELAYAR">'LAP. SPB'!$G$10</definedName>
    <definedName name="Slayer" localSheetId="1">"selayar"</definedName>
    <definedName name="Slayer" localSheetId="2">"selayar"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<sst xmlns="http://schemas.openxmlformats.org/spreadsheetml/2006/main" count="1368" uniqueCount="486">
  <si>
    <t>PELAPORAN PENGELUARAN SURAT PERSETUJUAN BERLAYAR</t>
  </si>
  <si>
    <t>KANTOR UNIT PENYELENGGARA PELABUHAN KELAS III JAMPEA</t>
  </si>
  <si>
    <t>BULAN JANUARI 2026</t>
  </si>
  <si>
    <t xml:space="preserve">     </t>
  </si>
  <si>
    <t>DATA KAPAL</t>
  </si>
  <si>
    <t>SURAT PERSETUJUAN BERLAYAR</t>
  </si>
  <si>
    <t>KET.</t>
  </si>
  <si>
    <t>No</t>
  </si>
  <si>
    <t>Nama Kapal</t>
  </si>
  <si>
    <t>Nama Panggil</t>
  </si>
  <si>
    <t>Gross</t>
  </si>
  <si>
    <t>TIBA</t>
  </si>
  <si>
    <t>TOLAK</t>
  </si>
  <si>
    <t>Cetak SPB</t>
  </si>
  <si>
    <t>Panggil</t>
  </si>
  <si>
    <t>Tonnage</t>
  </si>
  <si>
    <t>Bendera</t>
  </si>
  <si>
    <t>Tanggal</t>
  </si>
  <si>
    <t xml:space="preserve">Pelabuhan </t>
  </si>
  <si>
    <t>No.SPB</t>
  </si>
  <si>
    <t>ETA</t>
  </si>
  <si>
    <t>( Call Sign )</t>
  </si>
  <si>
    <t>( GT )</t>
  </si>
  <si>
    <t>Tiba</t>
  </si>
  <si>
    <t>Asal</t>
  </si>
  <si>
    <t>Tolak</t>
  </si>
  <si>
    <t>Tujuan</t>
  </si>
  <si>
    <t>PELABUHAN JAMPEA</t>
  </si>
  <si>
    <t>KLM. PESONA BAHARI</t>
  </si>
  <si>
    <t>YC5364</t>
  </si>
  <si>
    <t>INDONESIA</t>
  </si>
  <si>
    <t>SANANA</t>
  </si>
  <si>
    <t>SPB.IDSQN.1225.0000039</t>
  </si>
  <si>
    <t>TANJUNG PERAK</t>
  </si>
  <si>
    <t>SPB.IDPJA.0126.0000002</t>
  </si>
  <si>
    <t>KM. SABUK NUSANTARA 85</t>
  </si>
  <si>
    <t>YBZO2</t>
  </si>
  <si>
    <t>SELAYAR</t>
  </si>
  <si>
    <t>SPB.IDSLR.0126.0000010</t>
  </si>
  <si>
    <t>SPB.IDPJA.0126.0000004</t>
  </si>
  <si>
    <t>KM. SULTAN HASANUDDIN</t>
  </si>
  <si>
    <t>YCC12</t>
  </si>
  <si>
    <t>SPB.IDSLR.0126.0000013</t>
  </si>
  <si>
    <t>MAKASSAR</t>
  </si>
  <si>
    <t>SPB.IDPJA.0126.0000007</t>
  </si>
  <si>
    <t>KM. AL KAUTSAR 3</t>
  </si>
  <si>
    <t>YB7423</t>
  </si>
  <si>
    <t>SPB.IDSLR.1225.0000148</t>
  </si>
  <si>
    <t>BULUKUMBA</t>
  </si>
  <si>
    <t>SPB.IDPJA.0126.0000010</t>
  </si>
  <si>
    <t>KMP. TAKABONERATE</t>
  </si>
  <si>
    <t>YDFT3</t>
  </si>
  <si>
    <t>JINATO</t>
  </si>
  <si>
    <t>SPB.IDPJA.0126.0000011</t>
  </si>
  <si>
    <t>BONERATE</t>
  </si>
  <si>
    <t>SPB.IDPJA.0126.0000012</t>
  </si>
  <si>
    <t>KLM. CATUR PUTRA</t>
  </si>
  <si>
    <t>YC.7397</t>
  </si>
  <si>
    <t>KAYUADI</t>
  </si>
  <si>
    <t>SPB.IDPJA.0126.0000001</t>
  </si>
  <si>
    <t>SPB.IDPJA.0126.0000013</t>
  </si>
  <si>
    <t>KMP. SANGKE PALANGGA</t>
  </si>
  <si>
    <t>YCEM</t>
  </si>
  <si>
    <t>BIRA</t>
  </si>
  <si>
    <t>SPB.IDBBE.0126.000037</t>
  </si>
  <si>
    <t>LABUAN BAJO</t>
  </si>
  <si>
    <t>SPB.IDPJA.0126.0000014</t>
  </si>
  <si>
    <t>YDFT2</t>
  </si>
  <si>
    <t>SPB.IDPJA.0126.0000022</t>
  </si>
  <si>
    <t>SPB.IDPJA.0126.0000023</t>
  </si>
  <si>
    <t>SPB.IDPJA.0126.0000019</t>
  </si>
  <si>
    <t>SPB.IDPJA.0126.0000024</t>
  </si>
  <si>
    <t>KM. SABUK NUSANTARA 49</t>
  </si>
  <si>
    <t>PMOH</t>
  </si>
  <si>
    <t>REO</t>
  </si>
  <si>
    <t>SPB.IDREO.0126.0000012</t>
  </si>
  <si>
    <t>SPB.IDPJA.0126.0000029</t>
  </si>
  <si>
    <t>SPB.IDLBO.0126.0000023</t>
  </si>
  <si>
    <t>SPB.IDPJA.0126.0000031</t>
  </si>
  <si>
    <t>SPB.IDBBE.0126.000038</t>
  </si>
  <si>
    <t>MARAPOKOT</t>
  </si>
  <si>
    <t>SPB.IDPJA.0126.0000034</t>
  </si>
  <si>
    <t>SPB.IDPJA.0126.0000033</t>
  </si>
  <si>
    <t>SPB.IDPJA.0126.0000035</t>
  </si>
  <si>
    <t>KLM. NEW SELSABIEL</t>
  </si>
  <si>
    <t>YC7434</t>
  </si>
  <si>
    <t>SPB.IDBBE.0126.0000035</t>
  </si>
  <si>
    <t>SPB.IDPJA.0126.0000036</t>
  </si>
  <si>
    <t>SPB.IDMAK.0126.0000110</t>
  </si>
  <si>
    <t>SPB.IDPJA.0126.0000037</t>
  </si>
  <si>
    <t>KLM. ANDIN JAYA</t>
  </si>
  <si>
    <t>-</t>
  </si>
  <si>
    <t>SPB.IDMAK.0126.0000095</t>
  </si>
  <si>
    <t>SPB.IDPJA.0126.0000040</t>
  </si>
  <si>
    <t>SPB.IDPJA.0126.0000041</t>
  </si>
  <si>
    <t>SPB.IDPJA.0126.0000042</t>
  </si>
  <si>
    <t>SPB.IDMOT.0126.0000013</t>
  </si>
  <si>
    <t>SPB.IDPJA.0126.0000044</t>
  </si>
  <si>
    <t>SPB.IDPJA.0126.0000046</t>
  </si>
  <si>
    <t>SPB.IDPJA.0126.0000047</t>
  </si>
  <si>
    <t>KLM RESKI AQLA</t>
  </si>
  <si>
    <t>SPB.IDBBE.0126.0000037</t>
  </si>
  <si>
    <t>SPB.IDPJA.0126.0000048</t>
  </si>
  <si>
    <t>KM. MITRA DONGGALA</t>
  </si>
  <si>
    <t>PMHD</t>
  </si>
  <si>
    <t>SORONG</t>
  </si>
  <si>
    <t>SPB.IDSOQ.0126.0000401</t>
  </si>
  <si>
    <t>SPB.IDPJA.0126.0000054</t>
  </si>
  <si>
    <t>KM. NURUL SALSA 01</t>
  </si>
  <si>
    <t>SPB.IDSLR.0126.0000014</t>
  </si>
  <si>
    <t>SPB.IDPJA.0126.0000058</t>
  </si>
  <si>
    <t>SPB.IDPJA.0126.0000053</t>
  </si>
  <si>
    <t>SPB.IDPJA.0126.0000059</t>
  </si>
  <si>
    <t>SPB.IDPJA.0126.0000065</t>
  </si>
  <si>
    <t>SPB.IDPJA.0126.0000066</t>
  </si>
  <si>
    <t>KLM RESKI AQILA</t>
  </si>
  <si>
    <t>SPB.IDBBE.0126.0000096</t>
  </si>
  <si>
    <t>SPB.IDPJA.0126.0000067</t>
  </si>
  <si>
    <t>SPB.IDSLR.0126.0000112</t>
  </si>
  <si>
    <t>SPB.IDPJA.0126.0000069</t>
  </si>
  <si>
    <t>KM. MITRA ABADI II</t>
  </si>
  <si>
    <t>YHUN</t>
  </si>
  <si>
    <t>SPB.IDSUB.0126.0000811</t>
  </si>
  <si>
    <t>BINTUNI</t>
  </si>
  <si>
    <t>SPB.IDPJA.0126.0000070</t>
  </si>
  <si>
    <t>KLM. CITRA BAHARI</t>
  </si>
  <si>
    <t>YC5519</t>
  </si>
  <si>
    <t>SPB.IDSUB.0126.0000159</t>
  </si>
  <si>
    <t>SPB.IDPJA.0126.0000071</t>
  </si>
  <si>
    <t>SPB.IDBBE.0126.000113</t>
  </si>
  <si>
    <t>SPB.IDPJA.0126.0000073</t>
  </si>
  <si>
    <t>SPB.IDREO.0126.0000037</t>
  </si>
  <si>
    <t>SPB.IDPJA.0126.0000075</t>
  </si>
  <si>
    <t>SPB.IDPJA.0126.0000074</t>
  </si>
  <si>
    <t>SPB.IDPJA.0126.0000076</t>
  </si>
  <si>
    <t xml:space="preserve">KM. KAISEI MARU I </t>
  </si>
  <si>
    <t>JZKH</t>
  </si>
  <si>
    <t>SPB.IDSUB.0126.0000963</t>
  </si>
  <si>
    <t>GOROM</t>
  </si>
  <si>
    <t>SPB.IDPJA.0126.0000079</t>
  </si>
  <si>
    <t>SPB.IDBBE.0126.0000117</t>
  </si>
  <si>
    <t>SPB.IDPJA.0126.0000080</t>
  </si>
  <si>
    <t>MV. CORAL GEOGRAPHER</t>
  </si>
  <si>
    <t>VMIT</t>
  </si>
  <si>
    <t>AUSTRALIA</t>
  </si>
  <si>
    <t>BAWEAN</t>
  </si>
  <si>
    <t>SPB.IDBWN.0126.0000048</t>
  </si>
  <si>
    <t>SPB.IDPJA.0126.0000082</t>
  </si>
  <si>
    <t>SPB.IDBBE.0126.0000315</t>
  </si>
  <si>
    <t>SPB.IDPJA.0126.0000083</t>
  </si>
  <si>
    <t>SPB.IDMAK.0126.0000405</t>
  </si>
  <si>
    <t>SPB.IDPJA.0126.0000085</t>
  </si>
  <si>
    <t>SPB.IDPJA.0126.0000086</t>
  </si>
  <si>
    <t>SPB.IDPJA.0126.0000088</t>
  </si>
  <si>
    <t>SPB.IDPJA.0126.0000087</t>
  </si>
  <si>
    <t>SPB.IDPJA.0126.0000089</t>
  </si>
  <si>
    <t>SPB.IDSLR.1225.0000057</t>
  </si>
  <si>
    <t>SPB.IDBBE.1225.000086</t>
  </si>
  <si>
    <t>SPB.IDPJA.1225.0000097</t>
  </si>
  <si>
    <t>KLM. HARAPAN MULIA</t>
  </si>
  <si>
    <t>SPB.IDBBE.1225.000067</t>
  </si>
  <si>
    <t>SPB.IDPJA.1225.0000101</t>
  </si>
  <si>
    <t>SPB.IDMOT.1225.0000040</t>
  </si>
  <si>
    <t>KM. MITRA CAHAYA</t>
  </si>
  <si>
    <t>POVJ</t>
  </si>
  <si>
    <t>SPB.IDSUB.1225.0000714</t>
  </si>
  <si>
    <t>SPB.IDPJA.1225.0000109</t>
  </si>
  <si>
    <t>KLM. CITRA MAKMUR</t>
  </si>
  <si>
    <t>YC5725</t>
  </si>
  <si>
    <t>BAU-BAU</t>
  </si>
  <si>
    <t>SPB.IDBAU.1225.0000561</t>
  </si>
  <si>
    <t>BADAS</t>
  </si>
  <si>
    <t>SPB.IDBBE.1225.0000105</t>
  </si>
  <si>
    <t>KLM. MANDIRI UTAMA 01</t>
  </si>
  <si>
    <t>SPB.IDBBE.1225.0000093</t>
  </si>
  <si>
    <t>SPB.IDREO.1225.0000049</t>
  </si>
  <si>
    <t>SPB.IDPJA.1225.0000117</t>
  </si>
  <si>
    <t>SPB.IDPJA.1225.0000019</t>
  </si>
  <si>
    <t>SPB.IDBBE.1225.000032</t>
  </si>
  <si>
    <t>KLM. ANDI ANSAR</t>
  </si>
  <si>
    <t>SPB.IDMOT.1225.00000027</t>
  </si>
  <si>
    <t>BIMA</t>
  </si>
  <si>
    <t>KLM. HARAPAN KITA</t>
  </si>
  <si>
    <t>SPB.IDSUB.1225.0000802</t>
  </si>
  <si>
    <t>GESER</t>
  </si>
  <si>
    <t>SPB.IDLBO.1225.0001494</t>
  </si>
  <si>
    <t>SPB.IDBBE.1225.00001494</t>
  </si>
  <si>
    <t>SPB.IDMAK.1225.0000380</t>
  </si>
  <si>
    <t>SPB.IDBBE.1225.0000126</t>
  </si>
  <si>
    <t>SPB.IDPJA.1225.0000137</t>
  </si>
  <si>
    <t>SPB.IDLBO.1225.0001838</t>
  </si>
  <si>
    <t>KLM. REZKY AQILA</t>
  </si>
  <si>
    <t>SPB.IDBBE.1225.0000129</t>
  </si>
  <si>
    <t>SPB.IDSLR.1225.0000127</t>
  </si>
  <si>
    <t>KLM. RAODATUL JANAH</t>
  </si>
  <si>
    <t>KM. KHATULISTIWA 8</t>
  </si>
  <si>
    <t>SPB.IDSUB.1225.0001081</t>
  </si>
  <si>
    <t>PIRU</t>
  </si>
  <si>
    <t>POSKER UJUNG</t>
  </si>
  <si>
    <t>KLM. MENITA INDAH</t>
  </si>
  <si>
    <t>SPB.IDMOT.10250000010</t>
  </si>
  <si>
    <t>SPB.IDPJA.11250000001</t>
  </si>
  <si>
    <t>KLM. IRFAN PUTRA 02</t>
  </si>
  <si>
    <t>SPB.IDMOT.10250000004</t>
  </si>
  <si>
    <t>SPB.IDPJA.11250000006</t>
  </si>
  <si>
    <t>SPB.IDMOT.11250000009</t>
  </si>
  <si>
    <t>SPB.IDPJA.11250000133</t>
  </si>
  <si>
    <t>WILKER BONERATE</t>
  </si>
  <si>
    <t>KLM. BONERATE KING</t>
  </si>
  <si>
    <t>YC.5331</t>
  </si>
  <si>
    <t>30.10.25</t>
  </si>
  <si>
    <t>SPB.IDSUB.1025.0000978</t>
  </si>
  <si>
    <t>01.11.25</t>
  </si>
  <si>
    <t>BANDA NAIRA</t>
  </si>
  <si>
    <t>SPB.IDPJA.1125.0000002</t>
  </si>
  <si>
    <t>04.11.25</t>
  </si>
  <si>
    <t>….   0509661</t>
  </si>
  <si>
    <t>KM. ANUGERAH ABADI 1</t>
  </si>
  <si>
    <t>YHKT</t>
  </si>
  <si>
    <t>02.11.25</t>
  </si>
  <si>
    <t>P.2/KM.62/10/XI/KUPP.REO/2025</t>
  </si>
  <si>
    <t>X.9.1/UPP.III.WK/09/XI/2025</t>
  </si>
  <si>
    <t>03.11.25</t>
  </si>
  <si>
    <t>….   0509662</t>
  </si>
  <si>
    <t>KM. SABUK NUSANTARA 27</t>
  </si>
  <si>
    <t>PNXQ</t>
  </si>
  <si>
    <t>SPB.IDLBO.1125.0000010</t>
  </si>
  <si>
    <t>X.9.1/UPP.III.WK/10/XI/2025</t>
  </si>
  <si>
    <t>YBZ02</t>
  </si>
  <si>
    <t>KALAOTOA</t>
  </si>
  <si>
    <t>SPB.IDLBO.1125.0000005</t>
  </si>
  <si>
    <t>JAMPEA</t>
  </si>
  <si>
    <t>SPB.IDPJA.1125.0000008</t>
  </si>
  <si>
    <t>KLM. BONERATE JAYA</t>
  </si>
  <si>
    <t>YC7459</t>
  </si>
  <si>
    <t>28.10.25</t>
  </si>
  <si>
    <t>SPB.IDSLR.1025.0000175</t>
  </si>
  <si>
    <t>SPB.IDPJA.1125.0000009</t>
  </si>
  <si>
    <t>SPB.IDPJA.1125.0000011</t>
  </si>
  <si>
    <t>SPB.IDPJA.1125.0000012</t>
  </si>
  <si>
    <t>SPB.IDPJA.1125.0000016</t>
  </si>
  <si>
    <t>SPB.IDPJA.1125.0000018</t>
  </si>
  <si>
    <t>05.11.25</t>
  </si>
  <si>
    <t>22.10.25</t>
  </si>
  <si>
    <t>SPB.IDPJA.1025.0000096</t>
  </si>
  <si>
    <t>SPB.IDPJA.1125.0000020</t>
  </si>
  <si>
    <t>06.11.25</t>
  </si>
  <si>
    <t>SPB.IDSLR.1025.0000026</t>
  </si>
  <si>
    <t>SPB.IDPJA.1125.0000023</t>
  </si>
  <si>
    <t>07.11.25</t>
  </si>
  <si>
    <t>SPB.IDSLR.1025.0000032</t>
  </si>
  <si>
    <t>SPB.IDPJA.1125.0000025</t>
  </si>
  <si>
    <t>SPB.IDPJA.1125.0000031</t>
  </si>
  <si>
    <t>08.11.25</t>
  </si>
  <si>
    <t>SPB.IDPJA.1125.0000034</t>
  </si>
  <si>
    <t>SPB.IDPJA.1125.0000035</t>
  </si>
  <si>
    <t>SPB.IDPJA.1125.0000037</t>
  </si>
  <si>
    <t>11.11.25</t>
  </si>
  <si>
    <t>SPB.IDPJA.1125.0000046</t>
  </si>
  <si>
    <t>SPB.IDPJA.1125.0000048</t>
  </si>
  <si>
    <t>P.2/KM.62/15/XI/KUPP.REO/2025</t>
  </si>
  <si>
    <t>SPB.IDPJA.1125.0000049</t>
  </si>
  <si>
    <t>12.11.25</t>
  </si>
  <si>
    <t>SPB.IDPJA.1125.0000047</t>
  </si>
  <si>
    <t>SPB.IDPJA.1125.0000050</t>
  </si>
  <si>
    <t>SPB.IDLBO.1125.0000707</t>
  </si>
  <si>
    <t>SPB.IDPJA.1125.0000051</t>
  </si>
  <si>
    <t>KLM. CIPTA ANUGRAH</t>
  </si>
  <si>
    <t>SPB.IDSLR.1125.0000005</t>
  </si>
  <si>
    <t>SPB.IDPJA.1125.0000053</t>
  </si>
  <si>
    <t>SPB.IDPJA.1125.0000054</t>
  </si>
  <si>
    <t>SPB.IDPJA.1125.0000055</t>
  </si>
  <si>
    <t>14.11.25</t>
  </si>
  <si>
    <t>SPB.IDPJA.1125.0000062</t>
  </si>
  <si>
    <t>SPB.IDPJA.1125.0000063</t>
  </si>
  <si>
    <t>KLM. MULIA UTAMA</t>
  </si>
  <si>
    <t>YC.5834</t>
  </si>
  <si>
    <t>SPB.IDSUB.1125.0000276</t>
  </si>
  <si>
    <t>15.11.25</t>
  </si>
  <si>
    <t>SPB.IDPJA.1125.0000068</t>
  </si>
  <si>
    <t>17.11.25</t>
  </si>
  <si>
    <t>16.11.25</t>
  </si>
  <si>
    <t>SPB.IDSLR.1125.0000095</t>
  </si>
  <si>
    <t>SPB.IDPJA.1125.0000072</t>
  </si>
  <si>
    <t>SPB.IDSLR.1125.0000099</t>
  </si>
  <si>
    <t>SPB.IDPJA.1125.0000073</t>
  </si>
  <si>
    <t>18.11.25</t>
  </si>
  <si>
    <t>SPB.IDPJA.1125.0000076</t>
  </si>
  <si>
    <t>SPB.IDPJA.1125.0000077</t>
  </si>
  <si>
    <t>YC.7337</t>
  </si>
  <si>
    <t>SPB.IDPJA.1125.0000069</t>
  </si>
  <si>
    <t>SPB.IDPJA.1125.0000080</t>
  </si>
  <si>
    <t>SPB.IDPJA.1125.0000078</t>
  </si>
  <si>
    <t>SPB.IDPJA.1125.0000083</t>
  </si>
  <si>
    <t>19.11.25</t>
  </si>
  <si>
    <t>21.11.25</t>
  </si>
  <si>
    <t>SPB.IDREO.1125.0000051</t>
  </si>
  <si>
    <t>SPB.IDPJA.1125.0000087</t>
  </si>
  <si>
    <t>22.11.25</t>
  </si>
  <si>
    <t>SPB.IDLBO.1125.0001505</t>
  </si>
  <si>
    <t>SPB.IDPJA.1125.0000088</t>
  </si>
  <si>
    <t>SPB.IDPJA.1125.0000093</t>
  </si>
  <si>
    <t>SPB.IDPJA.1125.0000096</t>
  </si>
  <si>
    <t>SPB.IDPJA.1125.0000095</t>
  </si>
  <si>
    <t>SPB.IDPJA.1125.0000097</t>
  </si>
  <si>
    <t>SPB.IDPJA.1125.0000099</t>
  </si>
  <si>
    <t>SPB.IDPJA.1125.0000101</t>
  </si>
  <si>
    <t>23.11.25</t>
  </si>
  <si>
    <t>SPB.IDSLR.1125.0000066</t>
  </si>
  <si>
    <t>SPB.IDPJA.1125.0000105</t>
  </si>
  <si>
    <t>24.11.25</t>
  </si>
  <si>
    <t>SPB.IDSLR.1125.0000100</t>
  </si>
  <si>
    <t>SPB.IDPJA.1125.0000107</t>
  </si>
  <si>
    <t>KLM. TIGA PUTRI BONERATE</t>
  </si>
  <si>
    <t>SPB.IDSLR.1125.0000043</t>
  </si>
  <si>
    <t>SPB.IDPJA.1125.0000108</t>
  </si>
  <si>
    <t>SPB.IDSLR.1125.0000139</t>
  </si>
  <si>
    <t>25.11.25</t>
  </si>
  <si>
    <t>SPB.IDPJA.1125.0000116</t>
  </si>
  <si>
    <t>26.11.25</t>
  </si>
  <si>
    <t>SPB.IDPJA.1125.0000113</t>
  </si>
  <si>
    <t>SPB.IDPJA.1125.0000117</t>
  </si>
  <si>
    <t>SPB.IDSLR.1125.0000144</t>
  </si>
  <si>
    <t>SPB.IDPJA.1125.0000118</t>
  </si>
  <si>
    <t>KM. TRINITY</t>
  </si>
  <si>
    <t>PMVY</t>
  </si>
  <si>
    <t>SPB.IDSUB.1125.0000754</t>
  </si>
  <si>
    <t>KOBISADAR</t>
  </si>
  <si>
    <t>SPB.IDPJA.1125.0000119</t>
  </si>
  <si>
    <t>29.11.25</t>
  </si>
  <si>
    <t>SPB.IDSLR.1125.0000115</t>
  </si>
  <si>
    <t>SPB.IDPJA.1125.0000120</t>
  </si>
  <si>
    <t>SPB.IDSLR.1125.0000121</t>
  </si>
  <si>
    <t>SPB.IDPJA.1125.0000123</t>
  </si>
  <si>
    <t>30.11.25</t>
  </si>
  <si>
    <t>SPB.IDREO.1125.0000068</t>
  </si>
  <si>
    <t>SPB.IDPJA.1125.0000137</t>
  </si>
  <si>
    <t>WILKER JINATO</t>
  </si>
  <si>
    <t>YDFT1</t>
  </si>
  <si>
    <t>X.9.4-UPP.III-WK/177/XI/2025</t>
  </si>
  <si>
    <t>SPB.IDPJA.1125.0000010</t>
  </si>
  <si>
    <t>TB. SUMBER XI</t>
  </si>
  <si>
    <t>YD4283</t>
  </si>
  <si>
    <t>PROBOLINGGO</t>
  </si>
  <si>
    <t>SPB.IDPRO.0825.0000090</t>
  </si>
  <si>
    <t>MAHALETA</t>
  </si>
  <si>
    <t>SPB.IDPJA.1125.0000003</t>
  </si>
  <si>
    <t>TK. MITRA SINDO 20</t>
  </si>
  <si>
    <t>SPB.IDPRO.0825.0000091</t>
  </si>
  <si>
    <t>SPB.IDPJA.1125.0000004</t>
  </si>
  <si>
    <t>YBZO1</t>
  </si>
  <si>
    <t>SPB.IDPJA.1125.0000014</t>
  </si>
  <si>
    <t>SPB.IDPJA.1125.0000015</t>
  </si>
  <si>
    <t>….   0599797</t>
  </si>
  <si>
    <t>X.9.4-UPP.III/13/XI/2025</t>
  </si>
  <si>
    <t>X.94-UPP.III-WK/86/XI/2025</t>
  </si>
  <si>
    <t>X.9.4-UPP.III-WK/179/XI/2025</t>
  </si>
  <si>
    <t>SPB.IDPJA.1125.0000029</t>
  </si>
  <si>
    <t>SPB.IDPJA.1125.0000039</t>
  </si>
  <si>
    <t>SPB.IDPJA.1125.0000040</t>
  </si>
  <si>
    <t>SPB.IDSLR.1125.0000053</t>
  </si>
  <si>
    <t>SPB.IDPJA.1125.0000043</t>
  </si>
  <si>
    <t>X.9.4-UPP.III-WK/181/XI/2025</t>
  </si>
  <si>
    <t>SPB.IDPJA.1125.0000044</t>
  </si>
  <si>
    <t>SPB.IDPJA.1125.0000059</t>
  </si>
  <si>
    <t>SPB.IDPJA.1125.0000060</t>
  </si>
  <si>
    <t>SPB.IDPJA.1125.0000066</t>
  </si>
  <si>
    <t>SPB.IDPJA.1125.0000067</t>
  </si>
  <si>
    <t>SPB.IDMAK.1125.0000145</t>
  </si>
  <si>
    <t>X.9.4-UPP.III-WK/183/XI/2025</t>
  </si>
  <si>
    <t>SPB.IDPJA.1125.0000075</t>
  </si>
  <si>
    <t>SPB.IDPJA.1125.0000084</t>
  </si>
  <si>
    <t>SPB.IDPJA.1125.0000085</t>
  </si>
  <si>
    <t>SPB.IDPJA.1125.0000089</t>
  </si>
  <si>
    <t>X.9.4-UPP.III-WK/185/XI/2025</t>
  </si>
  <si>
    <t>SPB.IDPJA.1125.0000090</t>
  </si>
  <si>
    <t>SPB.IDPJA.1125.0000103</t>
  </si>
  <si>
    <t>SPB.IDPJA.1125.0000106</t>
  </si>
  <si>
    <t>X.9.4-UPP.III-WK/187/XI/2025</t>
  </si>
  <si>
    <t>SPB.IDPJA.1125.0000112</t>
  </si>
  <si>
    <t>SPB.IDPJA.1125.0000129</t>
  </si>
  <si>
    <t>SPB.IDPJA.1125.0000127</t>
  </si>
  <si>
    <t>WILKER KALAOTOA</t>
  </si>
  <si>
    <t>MAUMERE</t>
  </si>
  <si>
    <t>Q.4/KM.17/01/XI/2025</t>
  </si>
  <si>
    <t>SPB.IDPJA.1125.0000005</t>
  </si>
  <si>
    <t>KLM. MURNI JAYA 05</t>
  </si>
  <si>
    <t>YC.7475</t>
  </si>
  <si>
    <t>BALAURING</t>
  </si>
  <si>
    <t>Q.6/UPP.III/18/XI/2025</t>
  </si>
  <si>
    <t>SPB.IDPJA.1125.0000042</t>
  </si>
  <si>
    <t>KLM. USAHA BARU</t>
  </si>
  <si>
    <t>SPB.IDMOF.1025.0000094</t>
  </si>
  <si>
    <t>SPB.IDPJA.1125.0000052</t>
  </si>
  <si>
    <t>SPB.IDPJA.1125.0000056</t>
  </si>
  <si>
    <t>SPB.IDMOF.1125.0000046</t>
  </si>
  <si>
    <t>KLM. LADY DENOK</t>
  </si>
  <si>
    <t>SPB.IDLBO.1125.0001057</t>
  </si>
  <si>
    <t>BARANUSA</t>
  </si>
  <si>
    <t>SPB.IDPJA.1125.0000074</t>
  </si>
  <si>
    <t>WAIWERANG</t>
  </si>
  <si>
    <t>SPB.IDPJA.1125.0000094</t>
  </si>
  <si>
    <t>SPB.IDPJA.1125.0000100</t>
  </si>
  <si>
    <t>SPB.IDMOF.1125.0000087</t>
  </si>
  <si>
    <t>SPB.IDPJA.1125.0000115</t>
  </si>
  <si>
    <t>SPB.IDPJA.1125.0000121</t>
  </si>
  <si>
    <t>SPB.IDSLR.1125.0000162</t>
  </si>
  <si>
    <t>SPB.IDPJA.1125.0000140</t>
  </si>
  <si>
    <t>WILKER KAYUADI</t>
  </si>
  <si>
    <t>.... 0508613</t>
  </si>
  <si>
    <t>KLM. AHLIANA INDAH</t>
  </si>
  <si>
    <t>BANTAENG</t>
  </si>
  <si>
    <t>SPB.IDJEO.1025.0000058</t>
  </si>
  <si>
    <t>X9.4-UPP.III-WK/176/XI/2025</t>
  </si>
  <si>
    <t>KLM. ALFIANI INDAH 02</t>
  </si>
  <si>
    <t>YC 7530</t>
  </si>
  <si>
    <t>SPB.IDSLR.1025.0000151</t>
  </si>
  <si>
    <t>SPB.IDPJA.1125.0000007</t>
  </si>
  <si>
    <t>.... 0508614</t>
  </si>
  <si>
    <t>PATTUMBUKAN</t>
  </si>
  <si>
    <t>X.8/64/01/WK-PTBK/2025</t>
  </si>
  <si>
    <t>X9.4-UPP.III-WK/177/XI/2025</t>
  </si>
  <si>
    <t>SPB.IDPJA.1125.0000013</t>
  </si>
  <si>
    <t>.... 0508615</t>
  </si>
  <si>
    <t>X9.2.UPP.III.WK.86.XI/2025</t>
  </si>
  <si>
    <t>X9.4-UPP.III-WK/178/XI/2025</t>
  </si>
  <si>
    <t>KLM. HASTA JAYA 02</t>
  </si>
  <si>
    <t>SPB.IDPJA.1125.0000022</t>
  </si>
  <si>
    <t>.... 0508616</t>
  </si>
  <si>
    <t>X.8/66/03/WK-PTBK/2025</t>
  </si>
  <si>
    <t>X9.4-UPP.III-WK/179/XI/2025</t>
  </si>
  <si>
    <t>.... 0508617</t>
  </si>
  <si>
    <t>X9.4-UPP.III-WK/180/XI/2025</t>
  </si>
  <si>
    <t>.... 0508618</t>
  </si>
  <si>
    <t>X9.4-UPP.III-WK/181/XI/2025</t>
  </si>
  <si>
    <t>SPB.IDPJA.1125.0000045</t>
  </si>
  <si>
    <t>.... 0508619</t>
  </si>
  <si>
    <t>X9.4-UPP.III-WK/182/XI/2025</t>
  </si>
  <si>
    <t>SPB.IDPJA.1125.0000065</t>
  </si>
  <si>
    <t>.... 0508620</t>
  </si>
  <si>
    <t>X.8/70/07/WK-PTBK/2025</t>
  </si>
  <si>
    <t>X9.4-UPP.III-WK/183/XI/2025</t>
  </si>
  <si>
    <t>SPB.IDJEO.1125.0000015</t>
  </si>
  <si>
    <t>SPB.IDPJA.1125.0000081</t>
  </si>
  <si>
    <t>KLM. JUSMA JAYA 02</t>
  </si>
  <si>
    <t>SPB.IDJEO.1025.0000096</t>
  </si>
  <si>
    <t>SPB.IDPJA.1125.0000082</t>
  </si>
  <si>
    <t>.... 0508621</t>
  </si>
  <si>
    <t>X9.4-UPP.III-WK/184/XI/2025</t>
  </si>
  <si>
    <t>.... 0508622</t>
  </si>
  <si>
    <t>X.8/72/09/WK-PTBK/2025</t>
  </si>
  <si>
    <t>X9.4-UPP.III-WK/185/XI/2025</t>
  </si>
  <si>
    <t>SPB.IDPJA.1125.0000091</t>
  </si>
  <si>
    <t>.... 0508623</t>
  </si>
  <si>
    <t>X9.4-UPP.III-WK/186/XI/2025</t>
  </si>
  <si>
    <t>.... 0346001</t>
  </si>
  <si>
    <t>X.8/74/11/WK-PTBK/2025</t>
  </si>
  <si>
    <t>X9.4-UPP.III-WK/187/XI/2025</t>
  </si>
  <si>
    <t>SPB.IDPJA.1125.0000125</t>
  </si>
  <si>
    <t>SPB.IDPJA.1025.0000126</t>
  </si>
  <si>
    <t>.... 0346002</t>
  </si>
  <si>
    <t>X9.4-UPP.III-WK/188/XI/2025</t>
  </si>
  <si>
    <t>SPB.IDSLR.1125.0000157</t>
  </si>
  <si>
    <t>SPB.IDPJA.1125.0000135</t>
  </si>
  <si>
    <t>SPB.IDPJA.1125.0000139</t>
  </si>
  <si>
    <t>Jampea, 05 Januari 2026</t>
  </si>
  <si>
    <t>Kepala Kantor Unit Penyelenggara</t>
  </si>
  <si>
    <t>Pelabuhan Kelas III Jampea</t>
  </si>
  <si>
    <t>MOHAMAD NASIR, S.SiT, M.M.Tr</t>
  </si>
  <si>
    <t>Pembina (IV/a)</t>
  </si>
  <si>
    <t>NIP. 19770223 200212 1 002</t>
  </si>
  <si>
    <t>PELABUHAN</t>
  </si>
  <si>
    <t xml:space="preserve">JUMLAH KAPAL </t>
  </si>
  <si>
    <t>TOTAL</t>
  </si>
  <si>
    <t>&lt; GT 500</t>
  </si>
  <si>
    <t>&gt; GT 500</t>
  </si>
  <si>
    <t>BENDERA INDONESIA</t>
  </si>
  <si>
    <t>BENDERA ASING</t>
  </si>
  <si>
    <t>BENTENG JAMPEA</t>
  </si>
  <si>
    <t>JUMLAH KAPAL YANG KELUAR</t>
  </si>
  <si>
    <t>Mengetahui :</t>
  </si>
  <si>
    <t>Petugas Kesyahbandaran</t>
  </si>
  <si>
    <t>KUPP Kelas III Jampea</t>
  </si>
  <si>
    <t>INDAR, S.Sos</t>
  </si>
  <si>
    <t>Penata Tk.I (III/d)</t>
  </si>
  <si>
    <t>NIP. 19691231 199203 1 016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</si>
</sst>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mm\-yy"/>
    <numFmt numFmtId="181" formatCode="0.000000"/>
    <numFmt numFmtId="182" formatCode="0.000000_);[Red]\(0.000000\)"/>
    <numFmt numFmtId="183" formatCode="dd\,mm\,yy"/>
    <numFmt numFmtId="184" formatCode="dd\-mmm"/>
    <numFmt numFmtId="185" formatCode="dd:mm:yy"/>
    <numFmt numFmtId="186" formatCode="dd/mm/yy;@"/>
  </numFmts>
  <fonts count="3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i/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5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8" applyNumberFormat="0" applyFill="0" applyAlignment="0" applyProtection="0">
      <alignment vertical="center"/>
    </xf>
    <xf numFmtId="0" fontId="21" fillId="0" borderId="58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60" applyNumberFormat="0" applyAlignment="0" applyProtection="0">
      <alignment vertical="center"/>
    </xf>
    <xf numFmtId="0" fontId="24" fillId="12" borderId="61" applyNumberFormat="0" applyAlignment="0" applyProtection="0">
      <alignment vertical="center"/>
    </xf>
    <xf numFmtId="0" fontId="25" fillId="12" borderId="60" applyNumberFormat="0" applyAlignment="0" applyProtection="0">
      <alignment vertical="center"/>
    </xf>
    <xf numFmtId="0" fontId="26" fillId="13" borderId="62" applyNumberFormat="0" applyAlignment="0" applyProtection="0">
      <alignment vertical="center"/>
    </xf>
    <xf numFmtId="0" fontId="27" fillId="0" borderId="63" applyNumberFormat="0" applyFill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18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/>
    </xf>
    <xf numFmtId="181" fontId="2" fillId="2" borderId="3" xfId="0" applyNumberFormat="1" applyFont="1" applyFill="1" applyBorder="1" applyAlignment="1">
      <alignment horizontal="center" vertical="center"/>
    </xf>
    <xf numFmtId="181" fontId="2" fillId="2" borderId="4" xfId="0" applyNumberFormat="1" applyFont="1" applyFill="1" applyBorder="1" applyAlignment="1">
      <alignment horizontal="center" vertical="center"/>
    </xf>
    <xf numFmtId="181" fontId="2" fillId="2" borderId="5" xfId="0" applyNumberFormat="1" applyFont="1" applyFill="1" applyBorder="1" applyAlignment="1">
      <alignment horizontal="center" vertical="center"/>
    </xf>
    <xf numFmtId="181" fontId="2" fillId="2" borderId="6" xfId="0" applyNumberFormat="1" applyFont="1" applyFill="1" applyBorder="1" applyAlignment="1">
      <alignment horizontal="center" vertical="center"/>
    </xf>
    <xf numFmtId="181" fontId="2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81" fontId="2" fillId="2" borderId="12" xfId="0" applyNumberFormat="1" applyFont="1" applyFill="1" applyBorder="1" applyAlignment="1">
      <alignment horizontal="center" vertical="center"/>
    </xf>
    <xf numFmtId="181" fontId="2" fillId="2" borderId="13" xfId="0" applyNumberFormat="1" applyFont="1" applyFill="1" applyBorder="1" applyAlignment="1">
      <alignment horizontal="center" vertical="center"/>
    </xf>
    <xf numFmtId="181" fontId="2" fillId="2" borderId="14" xfId="0" applyNumberFormat="1" applyFont="1" applyFill="1" applyBorder="1" applyAlignment="1">
      <alignment horizontal="center" vertical="center"/>
    </xf>
    <xf numFmtId="181" fontId="2" fillId="2" borderId="15" xfId="0" applyNumberFormat="1" applyFont="1" applyFill="1" applyBorder="1" applyAlignment="1">
      <alignment horizontal="center" vertical="center"/>
    </xf>
    <xf numFmtId="181" fontId="2" fillId="2" borderId="16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181" fontId="4" fillId="0" borderId="20" xfId="0" applyNumberFormat="1" applyFont="1" applyBorder="1" applyAlignment="1">
      <alignment horizontal="left" vertical="center"/>
    </xf>
    <xf numFmtId="181" fontId="4" fillId="0" borderId="21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182" fontId="0" fillId="0" borderId="27" xfId="0" applyNumberFormat="1" applyBorder="1" applyAlignment="1">
      <alignment horizontal="left" vertical="center"/>
    </xf>
    <xf numFmtId="182" fontId="0" fillId="0" borderId="25" xfId="0" applyNumberFormat="1" applyBorder="1" applyAlignment="1">
      <alignment horizontal="left" vertical="center"/>
    </xf>
    <xf numFmtId="182" fontId="0" fillId="0" borderId="28" xfId="0" applyNumberFormat="1" applyBorder="1" applyAlignment="1">
      <alignment horizontal="left" vertical="center"/>
    </xf>
    <xf numFmtId="182" fontId="0" fillId="0" borderId="16" xfId="0" applyNumberForma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2" fontId="5" fillId="3" borderId="30" xfId="0" applyNumberFormat="1" applyFont="1" applyFill="1" applyBorder="1" applyAlignment="1">
      <alignment horizontal="center" vertical="center"/>
    </xf>
    <xf numFmtId="182" fontId="5" fillId="3" borderId="31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181" fontId="0" fillId="5" borderId="41" xfId="0" applyNumberForma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183" fontId="9" fillId="0" borderId="42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183" fontId="9" fillId="0" borderId="45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183" fontId="9" fillId="0" borderId="37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7" borderId="44" xfId="0" applyFont="1" applyFill="1" applyBorder="1" applyAlignment="1">
      <alignment horizontal="center" vertical="center"/>
    </xf>
    <xf numFmtId="0" fontId="8" fillId="8" borderId="44" xfId="0" applyFont="1" applyFill="1" applyBorder="1" applyAlignment="1">
      <alignment horizontal="center" vertical="center"/>
    </xf>
    <xf numFmtId="181" fontId="0" fillId="5" borderId="44" xfId="0" applyNumberForma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/>
    </xf>
    <xf numFmtId="181" fontId="0" fillId="0" borderId="41" xfId="0" applyNumberForma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5" xfId="0" applyBorder="1" applyAlignment="1">
      <alignment horizontal="left"/>
    </xf>
    <xf numFmtId="0" fontId="0" fillId="0" borderId="45" xfId="0" applyBorder="1"/>
    <xf numFmtId="0" fontId="7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/>
    </xf>
    <xf numFmtId="3" fontId="0" fillId="0" borderId="45" xfId="0" applyNumberFormat="1" applyBorder="1" applyAlignment="1">
      <alignment horizontal="center" vertical="center"/>
    </xf>
    <xf numFmtId="181" fontId="0" fillId="0" borderId="44" xfId="0" applyNumberFormat="1" applyBorder="1" applyAlignment="1">
      <alignment horizontal="center" vertical="center"/>
    </xf>
    <xf numFmtId="0" fontId="0" fillId="0" borderId="42" xfId="0" applyBorder="1" applyAlignment="1">
      <alignment vertical="center"/>
    </xf>
    <xf numFmtId="3" fontId="0" fillId="0" borderId="42" xfId="0" applyNumberFormat="1" applyBorder="1" applyAlignment="1">
      <alignment horizontal="center" vertical="center"/>
    </xf>
    <xf numFmtId="181" fontId="9" fillId="5" borderId="41" xfId="0" applyNumberFormat="1" applyFont="1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0" borderId="45" xfId="0" applyBorder="1" applyAlignment="1">
      <alignment vertical="center"/>
    </xf>
    <xf numFmtId="183" fontId="0" fillId="0" borderId="45" xfId="0" applyNumberFormat="1" applyBorder="1" applyAlignment="1">
      <alignment horizontal="center" vertical="center"/>
    </xf>
    <xf numFmtId="183" fontId="4" fillId="0" borderId="45" xfId="0" applyNumberFormat="1" applyFont="1" applyBorder="1" applyAlignment="1">
      <alignment horizontal="center" vertical="center"/>
    </xf>
    <xf numFmtId="184" fontId="0" fillId="0" borderId="45" xfId="0" applyNumberFormat="1" applyBorder="1" applyAlignment="1">
      <alignment horizontal="center" vertical="center"/>
    </xf>
    <xf numFmtId="181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0" xfId="0" applyBorder="1" applyAlignment="1">
      <alignment horizontal="center" vertical="center"/>
    </xf>
    <xf numFmtId="183" fontId="0" fillId="0" borderId="50" xfId="0" applyNumberFormat="1" applyBorder="1" applyAlignment="1">
      <alignment horizontal="center" vertical="center"/>
    </xf>
    <xf numFmtId="0" fontId="0" fillId="0" borderId="50" xfId="0" applyBorder="1" applyAlignment="1">
      <alignment horizontal="center"/>
    </xf>
    <xf numFmtId="183" fontId="4" fillId="0" borderId="50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81" fontId="9" fillId="5" borderId="44" xfId="0" applyNumberFormat="1" applyFont="1" applyFill="1" applyBorder="1" applyAlignment="1">
      <alignment horizontal="center" vertical="center"/>
    </xf>
    <xf numFmtId="185" fontId="9" fillId="9" borderId="52" xfId="0" applyNumberFormat="1" applyFont="1" applyFill="1" applyBorder="1" applyAlignment="1">
      <alignment horizontal="center" vertical="center"/>
    </xf>
    <xf numFmtId="0" fontId="9" fillId="9" borderId="52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86" fontId="9" fillId="9" borderId="52" xfId="0" applyNumberFormat="1" applyFont="1" applyFill="1" applyBorder="1" applyAlignment="1">
      <alignment horizontal="center" vertical="center"/>
    </xf>
    <xf numFmtId="58" fontId="9" fillId="9" borderId="52" xfId="0" applyNumberFormat="1" applyFont="1" applyFill="1" applyBorder="1" applyAlignment="1">
      <alignment horizontal="center" vertical="center"/>
    </xf>
    <xf numFmtId="185" fontId="9" fillId="0" borderId="53" xfId="0" applyNumberFormat="1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9" borderId="54" xfId="0" applyFont="1" applyFill="1" applyBorder="1" applyAlignment="1">
      <alignment horizontal="left" vertical="center"/>
    </xf>
    <xf numFmtId="0" fontId="9" fillId="9" borderId="54" xfId="0" applyFont="1" applyFill="1" applyBorder="1" applyAlignment="1">
      <alignment horizontal="center" vertical="center"/>
    </xf>
    <xf numFmtId="185" fontId="9" fillId="0" borderId="54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9" borderId="53" xfId="0" applyFont="1" applyFill="1" applyBorder="1" applyAlignment="1">
      <alignment horizontal="left" vertical="center"/>
    </xf>
    <xf numFmtId="185" fontId="9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9" borderId="52" xfId="0" applyFont="1" applyFill="1" applyBorder="1" applyAlignment="1">
      <alignment horizontal="left" vertical="center"/>
    </xf>
    <xf numFmtId="0" fontId="9" fillId="0" borderId="55" xfId="0" applyFont="1" applyBorder="1" applyAlignment="1">
      <alignment horizontal="center" vertical="center"/>
    </xf>
    <xf numFmtId="0" fontId="9" fillId="9" borderId="56" xfId="0" applyFont="1" applyFill="1" applyBorder="1" applyAlignment="1">
      <alignment horizontal="left" vertical="center"/>
    </xf>
    <xf numFmtId="0" fontId="9" fillId="0" borderId="56" xfId="0" applyFont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186" fontId="9" fillId="9" borderId="56" xfId="0" applyNumberFormat="1" applyFont="1" applyFill="1" applyBorder="1" applyAlignment="1">
      <alignment horizontal="center" vertical="center"/>
    </xf>
    <xf numFmtId="0" fontId="9" fillId="9" borderId="56" xfId="0" applyFont="1" applyFill="1" applyBorder="1" applyAlignment="1">
      <alignment horizontal="center" vertical="center"/>
    </xf>
    <xf numFmtId="181" fontId="4" fillId="8" borderId="44" xfId="0" applyNumberFormat="1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left" vertical="center"/>
    </xf>
    <xf numFmtId="0" fontId="9" fillId="9" borderId="45" xfId="0" applyFont="1" applyFill="1" applyBorder="1" applyAlignment="1">
      <alignment horizontal="center" vertical="center"/>
    </xf>
    <xf numFmtId="185" fontId="0" fillId="0" borderId="45" xfId="0" applyNumberFormat="1" applyBorder="1" applyAlignment="1">
      <alignment horizontal="center" vertical="center"/>
    </xf>
    <xf numFmtId="181" fontId="4" fillId="8" borderId="49" xfId="0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185" fontId="0" fillId="0" borderId="50" xfId="0" applyNumberFormat="1" applyBorder="1" applyAlignment="1">
      <alignment horizontal="center" vertical="center"/>
    </xf>
    <xf numFmtId="181" fontId="4" fillId="8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45" xfId="0" applyBorder="1" applyAlignment="1" quotePrefix="1">
      <alignment horizontal="center" vertical="center"/>
    </xf>
    <xf numFmtId="0" fontId="0" fillId="0" borderId="35" xfId="0" applyBorder="1" applyAlignment="1" quotePrefix="1">
      <alignment horizontal="center" vertical="center"/>
    </xf>
    <xf numFmtId="185" fontId="9" fillId="9" borderId="52" xfId="0" applyNumberFormat="1" applyFont="1" applyFill="1" applyBorder="1" applyAlignment="1" quotePrefix="1">
      <alignment horizontal="center" vertical="center"/>
    </xf>
    <xf numFmtId="185" fontId="9" fillId="0" borderId="52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CFFFF"/>
      <color rgb="00CDCDCD"/>
      <color rgb="00CCFF66"/>
      <color rgb="00FF9999"/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SPB'!$B$88:$B$98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SPB'!$C$88:$C$98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2"/>
          <c:order val="2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SPB'!$D$88:$D$98</c:f>
              <c:numCache>
                <c:formatCode>General</c:formatCode>
                <c:ptCount val="11"/>
                <c:pt idx="1">
                  <c:v>147</c:v>
                </c:pt>
                <c:pt idx="2" c:formatCode="#,##0">
                  <c:v>592</c:v>
                </c:pt>
                <c:pt idx="3">
                  <c:v>784</c:v>
                </c:pt>
                <c:pt idx="4">
                  <c:v>2097</c:v>
                </c:pt>
                <c:pt idx="5">
                  <c:v>57</c:v>
                </c:pt>
                <c:pt idx="6">
                  <c:v>842</c:v>
                </c:pt>
                <c:pt idx="7">
                  <c:v>842</c:v>
                </c:pt>
                <c:pt idx="8" c:formatCode="#,##0">
                  <c:v>213</c:v>
                </c:pt>
                <c:pt idx="9" c:formatCode="#,##0">
                  <c:v>592</c:v>
                </c:pt>
                <c:pt idx="10">
                  <c:v>784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3"/>
          <c:order val="3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SPB'!$E$88:$E$98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4"/>
          <c:order val="4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SPB'!$F$88:$F$98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5"/>
          <c:order val="5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SPB'!$G$88:$G$98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6"/>
          <c:order val="6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SPB'!$H$88:$H$98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7"/>
          <c:order val="7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SPB'!$I$88:$I$98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8"/>
          <c:order val="8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SPB'!$J$88:$J$98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9"/>
          <c:order val="9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SPB'!$K$88:$K$98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0"/>
          <c:order val="10"/>
          <c:invertIfNegative val="0"/>
          <c:dLbls>
            <c:delete val="1"/>
          </c:dLbls>
          <c:cat>
            <c:strRef>
              <c:f>'LAP. SPB'!$A$88:$A$98</c:f>
              <c:strCache>
                <c:ptCount val="11"/>
                <c:pt idx="2" c:formatCode="0.000000">
                  <c:v>….   0509661</c:v>
                </c:pt>
                <c:pt idx="3" c:formatCode="0.000000">
                  <c:v>….   0509662</c:v>
                </c:pt>
              </c:strCache>
            </c:strRef>
          </c:cat>
          <c:val>
            <c:numRef>
              <c:f>'LAP. SPB'!$L$88:$L$98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665082416"/>
        <c:axId val="-665090032"/>
      </c:barChart>
      <c:catAx>
        <c:axId val="-66508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665090032"/>
        <c:crosses val="autoZero"/>
        <c:auto val="1"/>
        <c:lblAlgn val="ctr"/>
        <c:lblOffset val="100"/>
        <c:noMultiLvlLbl val="0"/>
      </c:catAx>
      <c:valAx>
        <c:axId val="-66509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6650824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8c7d71-7a3b-4dca-b0af-3072215628c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392771</xdr:colOff>
      <xdr:row>31</xdr:row>
      <xdr:rowOff>173463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307830" cy="6078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123" zoomScaleNormal="123" workbookViewId="0">
      <selection activeCell="A1" sqref="A1"/>
    </sheetView>
  </sheetViews>
  <sheetFormatPr defaultColWidth="10.2857142857143" defaultRowHeight="1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T209"/>
  <sheetViews>
    <sheetView tabSelected="1" zoomScale="120" zoomScaleNormal="120" zoomScalePageLayoutView="85" zoomScaleSheetLayoutView="80" showWhiteSpace="0" workbookViewId="0">
      <pane ySplit="9" topLeftCell="A16" activePane="bottomLeft" state="frozen"/>
      <selection/>
      <selection pane="bottomLeft" activeCell="E30" sqref="E30"/>
    </sheetView>
  </sheetViews>
  <sheetFormatPr defaultColWidth="9.14285714285714" defaultRowHeight="15"/>
  <cols>
    <col min="1" max="1" width="11.1428571428571" style="1" customWidth="1"/>
    <col min="2" max="2" width="26.8571428571429" style="27" customWidth="1"/>
    <col min="3" max="3" width="9.42857142857143" style="1" customWidth="1"/>
    <col min="4" max="4" width="7.57142857142857" style="1" customWidth="1"/>
    <col min="5" max="5" width="10.7142857142857" style="1" customWidth="1"/>
    <col min="6" max="6" width="9.14285714285714" style="1" customWidth="1"/>
    <col min="7" max="7" width="15.7142857142857" style="1" customWidth="1"/>
    <col min="8" max="8" width="32.4285714285714" style="1" customWidth="1"/>
    <col min="9" max="9" width="9.14285714285714" style="1" customWidth="1"/>
    <col min="10" max="10" width="15.7142857142857" style="1" customWidth="1"/>
    <col min="11" max="11" width="23.7142857142857" style="1" customWidth="1"/>
    <col min="12" max="12" width="8.57142857142857" style="1" customWidth="1"/>
    <col min="13" max="13" width="7.85714285714286" style="27" customWidth="1"/>
    <col min="14" max="14" width="9.14285714285714" style="27" hidden="1" customWidth="1"/>
    <col min="15" max="15" width="9" style="27" hidden="1" customWidth="1"/>
    <col min="16" max="17" width="9.14285714285714" style="27" hidden="1" customWidth="1"/>
    <col min="18" max="18" width="15.4285714285714" style="27" hidden="1" customWidth="1"/>
    <col min="19" max="19" width="9.14285714285714" style="27" hidden="1" customWidth="1"/>
    <col min="20" max="20" width="1.14285714285714" style="27" hidden="1" customWidth="1"/>
    <col min="21" max="21" width="9.14285714285714" style="27" customWidth="1"/>
    <col min="22" max="16384" width="9.14285714285714" style="27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</row>
    <row r="4" customHeight="1" spans="1:18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"/>
      <c r="O4" s="1"/>
      <c r="P4" s="1"/>
      <c r="Q4" s="1"/>
    </row>
    <row r="5" customHeight="1" spans="1:18">
      <c r="A5" s="62" t="s">
        <v>3</v>
      </c>
      <c r="B5" s="63" t="s">
        <v>4</v>
      </c>
      <c r="C5" s="64"/>
      <c r="D5" s="64"/>
      <c r="E5" s="65"/>
      <c r="F5" s="63" t="s">
        <v>5</v>
      </c>
      <c r="G5" s="64"/>
      <c r="H5" s="64"/>
      <c r="I5" s="64"/>
      <c r="J5" s="64"/>
      <c r="K5" s="64"/>
      <c r="L5" s="65"/>
      <c r="M5" s="66" t="s">
        <v>6</v>
      </c>
      <c r="N5" s="15"/>
      <c r="O5" s="15"/>
      <c r="P5" s="15"/>
      <c r="Q5" s="16"/>
    </row>
    <row r="6" customHeight="1" spans="1:18">
      <c r="A6" s="67" t="s">
        <v>7</v>
      </c>
      <c r="B6" s="68" t="s">
        <v>8</v>
      </c>
      <c r="C6" s="68" t="s">
        <v>9</v>
      </c>
      <c r="D6" s="69" t="s">
        <v>10</v>
      </c>
      <c r="E6" s="70"/>
      <c r="F6" s="71" t="s">
        <v>11</v>
      </c>
      <c r="G6" s="72"/>
      <c r="H6" s="73"/>
      <c r="I6" s="71" t="s">
        <v>12</v>
      </c>
      <c r="J6" s="72"/>
      <c r="K6" s="72"/>
      <c r="L6" s="73"/>
      <c r="M6" s="74"/>
      <c r="Q6" s="28"/>
    </row>
    <row r="7" spans="1:18">
      <c r="A7" s="67" t="s">
        <v>13</v>
      </c>
      <c r="B7" s="75"/>
      <c r="C7" s="75" t="s">
        <v>14</v>
      </c>
      <c r="D7" s="76" t="s">
        <v>15</v>
      </c>
      <c r="E7" s="70" t="s">
        <v>16</v>
      </c>
      <c r="F7" s="76" t="s">
        <v>17</v>
      </c>
      <c r="G7" s="70" t="s">
        <v>18</v>
      </c>
      <c r="H7" s="69" t="s">
        <v>19</v>
      </c>
      <c r="I7" s="70" t="s">
        <v>17</v>
      </c>
      <c r="J7" s="70" t="s">
        <v>18</v>
      </c>
      <c r="K7" s="69" t="s">
        <v>19</v>
      </c>
      <c r="L7" s="69" t="s">
        <v>20</v>
      </c>
      <c r="M7" s="74"/>
      <c r="Q7" s="28"/>
    </row>
    <row r="8" customHeight="1" spans="1:18">
      <c r="A8" s="67"/>
      <c r="B8" s="75"/>
      <c r="C8" s="77" t="s">
        <v>21</v>
      </c>
      <c r="D8" s="78" t="s">
        <v>22</v>
      </c>
      <c r="E8" s="70"/>
      <c r="F8" s="76" t="s">
        <v>23</v>
      </c>
      <c r="G8" s="70" t="s">
        <v>24</v>
      </c>
      <c r="H8" s="76"/>
      <c r="I8" s="70" t="s">
        <v>25</v>
      </c>
      <c r="J8" s="70" t="s">
        <v>26</v>
      </c>
      <c r="K8" s="76"/>
      <c r="L8" s="76"/>
      <c r="M8" s="74"/>
      <c r="N8" s="39"/>
      <c r="O8" s="39"/>
      <c r="P8" s="39"/>
      <c r="Q8" s="40"/>
    </row>
    <row r="9" s="1" customFormat="1" ht="16.5" spans="1:18">
      <c r="A9" s="79">
        <v>1</v>
      </c>
      <c r="B9" s="80">
        <v>2</v>
      </c>
      <c r="C9" s="81"/>
      <c r="D9" s="81">
        <v>4</v>
      </c>
      <c r="E9" s="81">
        <v>5</v>
      </c>
      <c r="F9" s="81">
        <v>6</v>
      </c>
      <c r="G9" s="81">
        <v>7</v>
      </c>
      <c r="H9" s="81">
        <v>8</v>
      </c>
      <c r="I9" s="81">
        <v>9</v>
      </c>
      <c r="J9" s="81">
        <v>10</v>
      </c>
      <c r="K9" s="81">
        <v>11</v>
      </c>
      <c r="L9" s="81">
        <v>12</v>
      </c>
      <c r="M9" s="82">
        <v>13</v>
      </c>
    </row>
    <row r="10" s="1" customFormat="1" ht="15.75" spans="1:18">
      <c r="A10" s="83"/>
      <c r="B10" s="84" t="s">
        <v>27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6"/>
    </row>
    <row r="11" s="1" customFormat="1" spans="1:18">
      <c r="A11" s="87"/>
      <c r="B11" s="88" t="s">
        <v>28</v>
      </c>
      <c r="C11" s="89" t="s">
        <v>29</v>
      </c>
      <c r="D11" s="89">
        <v>161</v>
      </c>
      <c r="E11" s="89" t="s">
        <v>30</v>
      </c>
      <c r="F11" s="90">
        <v>46025</v>
      </c>
      <c r="G11" s="89" t="s">
        <v>31</v>
      </c>
      <c r="H11" s="89" t="s">
        <v>32</v>
      </c>
      <c r="I11" s="90">
        <v>46025</v>
      </c>
      <c r="J11" s="89" t="s">
        <v>33</v>
      </c>
      <c r="K11" s="91" t="s">
        <v>34</v>
      </c>
      <c r="L11" s="90">
        <v>46026</v>
      </c>
      <c r="M11" s="92"/>
    </row>
    <row r="12" s="1" customFormat="1" spans="1:18">
      <c r="A12" s="87"/>
      <c r="B12" s="93" t="s">
        <v>35</v>
      </c>
      <c r="C12" s="91" t="s">
        <v>36</v>
      </c>
      <c r="D12" s="91">
        <v>2097</v>
      </c>
      <c r="E12" s="91" t="s">
        <v>30</v>
      </c>
      <c r="F12" s="90">
        <v>46025</v>
      </c>
      <c r="G12" s="91" t="s">
        <v>37</v>
      </c>
      <c r="H12" s="91" t="s">
        <v>38</v>
      </c>
      <c r="I12" s="90">
        <v>46025</v>
      </c>
      <c r="J12" s="91" t="s">
        <v>37</v>
      </c>
      <c r="K12" s="91" t="s">
        <v>39</v>
      </c>
      <c r="L12" s="90">
        <v>46026</v>
      </c>
      <c r="M12" s="92"/>
    </row>
    <row r="13" s="1" customFormat="1" spans="1:18">
      <c r="A13" s="87"/>
      <c r="B13" s="93" t="s">
        <v>40</v>
      </c>
      <c r="C13" s="91" t="s">
        <v>41</v>
      </c>
      <c r="D13" s="91">
        <v>1257</v>
      </c>
      <c r="E13" s="91" t="s">
        <v>30</v>
      </c>
      <c r="F13" s="90">
        <v>46026</v>
      </c>
      <c r="G13" s="91" t="s">
        <v>37</v>
      </c>
      <c r="H13" s="94" t="s">
        <v>42</v>
      </c>
      <c r="I13" s="90">
        <v>46026</v>
      </c>
      <c r="J13" s="91" t="s">
        <v>43</v>
      </c>
      <c r="K13" s="91" t="s">
        <v>44</v>
      </c>
      <c r="L13" s="95">
        <v>46027</v>
      </c>
      <c r="M13" s="92"/>
    </row>
    <row r="14" s="1" customFormat="1" spans="1:18">
      <c r="A14" s="87"/>
      <c r="B14" s="93" t="s">
        <v>45</v>
      </c>
      <c r="C14" s="91" t="s">
        <v>46</v>
      </c>
      <c r="D14" s="91">
        <v>104</v>
      </c>
      <c r="E14" s="89" t="s">
        <v>30</v>
      </c>
      <c r="F14" s="90">
        <v>46018</v>
      </c>
      <c r="G14" s="91" t="s">
        <v>37</v>
      </c>
      <c r="H14" s="94" t="s">
        <v>47</v>
      </c>
      <c r="I14" s="90">
        <v>46027</v>
      </c>
      <c r="J14" s="91" t="s">
        <v>48</v>
      </c>
      <c r="K14" s="91" t="s">
        <v>49</v>
      </c>
      <c r="L14" s="95">
        <v>46028</v>
      </c>
      <c r="M14" s="96"/>
    </row>
    <row r="15" s="1" customFormat="1" spans="1:18">
      <c r="A15" s="87"/>
      <c r="B15" s="97" t="s">
        <v>50</v>
      </c>
      <c r="C15" s="91" t="s">
        <v>51</v>
      </c>
      <c r="D15" s="91">
        <v>843</v>
      </c>
      <c r="E15" s="98" t="s">
        <v>30</v>
      </c>
      <c r="F15" s="90">
        <v>46027</v>
      </c>
      <c r="G15" s="91" t="s">
        <v>52</v>
      </c>
      <c r="H15" s="91" t="s">
        <v>53</v>
      </c>
      <c r="I15" s="90">
        <v>46027</v>
      </c>
      <c r="J15" s="91" t="s">
        <v>54</v>
      </c>
      <c r="K15" s="91" t="s">
        <v>55</v>
      </c>
      <c r="L15" s="95">
        <v>46028</v>
      </c>
      <c r="M15" s="96"/>
    </row>
    <row r="16" s="1" customFormat="1" spans="1:18">
      <c r="A16" s="87"/>
      <c r="B16" s="97" t="s">
        <v>56</v>
      </c>
      <c r="C16" s="99" t="s">
        <v>57</v>
      </c>
      <c r="D16" s="100">
        <v>213</v>
      </c>
      <c r="E16" s="91" t="s">
        <v>30</v>
      </c>
      <c r="F16" s="90">
        <v>46025</v>
      </c>
      <c r="G16" s="91" t="s">
        <v>58</v>
      </c>
      <c r="H16" s="91" t="s">
        <v>59</v>
      </c>
      <c r="I16" s="90">
        <v>46028</v>
      </c>
      <c r="J16" s="91" t="s">
        <v>54</v>
      </c>
      <c r="K16" s="91" t="s">
        <v>60</v>
      </c>
      <c r="L16" s="95">
        <v>46028</v>
      </c>
      <c r="M16" s="96"/>
    </row>
    <row r="17" s="1" customFormat="1" spans="1:20">
      <c r="A17" s="87"/>
      <c r="B17" s="93" t="s">
        <v>61</v>
      </c>
      <c r="C17" s="91" t="s">
        <v>62</v>
      </c>
      <c r="D17" s="91">
        <v>560</v>
      </c>
      <c r="E17" s="91" t="s">
        <v>30</v>
      </c>
      <c r="F17" s="90">
        <v>46028</v>
      </c>
      <c r="G17" s="91" t="s">
        <v>63</v>
      </c>
      <c r="H17" s="94" t="s">
        <v>64</v>
      </c>
      <c r="I17" s="90">
        <v>46028</v>
      </c>
      <c r="J17" s="91" t="s">
        <v>65</v>
      </c>
      <c r="K17" s="91" t="s">
        <v>66</v>
      </c>
      <c r="L17" s="95">
        <v>46029</v>
      </c>
      <c r="M17" s="92"/>
    </row>
    <row r="18" s="1" customFormat="1" spans="1:20">
      <c r="A18" s="87"/>
      <c r="B18" s="97" t="s">
        <v>50</v>
      </c>
      <c r="C18" s="91" t="s">
        <v>67</v>
      </c>
      <c r="D18" s="91">
        <v>842</v>
      </c>
      <c r="E18" s="91" t="s">
        <v>30</v>
      </c>
      <c r="F18" s="90">
        <v>46028</v>
      </c>
      <c r="G18" s="91" t="s">
        <v>54</v>
      </c>
      <c r="H18" s="91" t="s">
        <v>68</v>
      </c>
      <c r="I18" s="90">
        <v>46029</v>
      </c>
      <c r="J18" s="91" t="s">
        <v>52</v>
      </c>
      <c r="K18" s="91" t="s">
        <v>69</v>
      </c>
      <c r="L18" s="95">
        <v>46029</v>
      </c>
      <c r="M18" s="92"/>
    </row>
    <row r="19" s="1" customFormat="1" spans="1:20">
      <c r="A19" s="87"/>
      <c r="B19" s="93" t="s">
        <v>35</v>
      </c>
      <c r="C19" s="91" t="s">
        <v>36</v>
      </c>
      <c r="D19" s="91">
        <v>2097</v>
      </c>
      <c r="E19" s="91" t="s">
        <v>30</v>
      </c>
      <c r="F19" s="90">
        <v>46028</v>
      </c>
      <c r="G19" s="91" t="s">
        <v>54</v>
      </c>
      <c r="H19" s="91" t="s">
        <v>70</v>
      </c>
      <c r="I19" s="90">
        <v>46029</v>
      </c>
      <c r="J19" s="91" t="s">
        <v>58</v>
      </c>
      <c r="K19" s="91" t="s">
        <v>71</v>
      </c>
      <c r="L19" s="95">
        <v>46029</v>
      </c>
      <c r="M19" s="92"/>
    </row>
    <row r="20" s="1" customFormat="1" spans="1:20">
      <c r="A20" s="87"/>
      <c r="B20" s="93" t="s">
        <v>72</v>
      </c>
      <c r="C20" s="91" t="s">
        <v>73</v>
      </c>
      <c r="D20" s="91">
        <v>2090</v>
      </c>
      <c r="E20" s="89" t="s">
        <v>30</v>
      </c>
      <c r="F20" s="90">
        <v>46029</v>
      </c>
      <c r="G20" s="91" t="s">
        <v>74</v>
      </c>
      <c r="H20" s="91" t="s">
        <v>75</v>
      </c>
      <c r="I20" s="90">
        <v>46029</v>
      </c>
      <c r="J20" s="91" t="s">
        <v>43</v>
      </c>
      <c r="K20" s="91" t="s">
        <v>76</v>
      </c>
      <c r="L20" s="95">
        <v>46030</v>
      </c>
      <c r="M20" s="92"/>
    </row>
    <row r="21" s="1" customFormat="1" spans="1:20">
      <c r="A21" s="87"/>
      <c r="B21" s="93" t="s">
        <v>61</v>
      </c>
      <c r="C21" s="91" t="s">
        <v>62</v>
      </c>
      <c r="D21" s="91">
        <v>560</v>
      </c>
      <c r="E21" s="98" t="s">
        <v>30</v>
      </c>
      <c r="F21" s="90">
        <v>46030</v>
      </c>
      <c r="G21" s="91" t="s">
        <v>65</v>
      </c>
      <c r="H21" s="94" t="s">
        <v>77</v>
      </c>
      <c r="I21" s="90">
        <v>46030</v>
      </c>
      <c r="J21" s="91" t="s">
        <v>63</v>
      </c>
      <c r="K21" s="91" t="s">
        <v>78</v>
      </c>
      <c r="L21" s="95">
        <v>46030</v>
      </c>
      <c r="M21" s="96"/>
    </row>
    <row r="22" s="1" customFormat="1" spans="1:20">
      <c r="A22" s="87"/>
      <c r="B22" s="93" t="s">
        <v>61</v>
      </c>
      <c r="C22" s="91" t="s">
        <v>62</v>
      </c>
      <c r="D22" s="91">
        <v>560</v>
      </c>
      <c r="E22" s="91" t="s">
        <v>30</v>
      </c>
      <c r="F22" s="90">
        <v>46031</v>
      </c>
      <c r="G22" s="91" t="s">
        <v>63</v>
      </c>
      <c r="H22" s="94" t="s">
        <v>79</v>
      </c>
      <c r="I22" s="90">
        <v>46031</v>
      </c>
      <c r="J22" s="91" t="s">
        <v>80</v>
      </c>
      <c r="K22" s="91" t="s">
        <v>81</v>
      </c>
      <c r="L22" s="95">
        <v>46032</v>
      </c>
      <c r="M22" s="96"/>
    </row>
    <row r="23" s="1" customFormat="1" spans="1:20">
      <c r="A23" s="87"/>
      <c r="B23" s="97" t="s">
        <v>50</v>
      </c>
      <c r="C23" s="91" t="s">
        <v>67</v>
      </c>
      <c r="D23" s="91">
        <v>842</v>
      </c>
      <c r="E23" s="91" t="s">
        <v>30</v>
      </c>
      <c r="F23" s="90">
        <v>46031</v>
      </c>
      <c r="G23" s="91" t="s">
        <v>52</v>
      </c>
      <c r="H23" s="91" t="s">
        <v>82</v>
      </c>
      <c r="I23" s="90">
        <v>46031</v>
      </c>
      <c r="J23" s="91" t="s">
        <v>54</v>
      </c>
      <c r="K23" s="91" t="s">
        <v>83</v>
      </c>
      <c r="L23" s="95">
        <v>46032</v>
      </c>
      <c r="M23" s="96"/>
    </row>
    <row r="24" s="1" customFormat="1" spans="1:20">
      <c r="A24" s="87"/>
      <c r="B24" s="93" t="s">
        <v>84</v>
      </c>
      <c r="C24" s="91" t="s">
        <v>85</v>
      </c>
      <c r="D24" s="91">
        <v>36</v>
      </c>
      <c r="E24" s="89" t="s">
        <v>30</v>
      </c>
      <c r="F24" s="90">
        <v>46031</v>
      </c>
      <c r="G24" s="91" t="s">
        <v>48</v>
      </c>
      <c r="H24" s="94" t="s">
        <v>86</v>
      </c>
      <c r="I24" s="90">
        <v>46032</v>
      </c>
      <c r="J24" s="91" t="s">
        <v>48</v>
      </c>
      <c r="K24" s="91" t="s">
        <v>87</v>
      </c>
      <c r="L24" s="95">
        <v>46033</v>
      </c>
      <c r="M24" s="92"/>
    </row>
    <row r="25" s="1" customFormat="1" spans="1:20">
      <c r="A25" s="87"/>
      <c r="B25" s="93" t="s">
        <v>72</v>
      </c>
      <c r="C25" s="91" t="s">
        <v>73</v>
      </c>
      <c r="D25" s="91">
        <v>2090</v>
      </c>
      <c r="E25" s="89" t="s">
        <v>30</v>
      </c>
      <c r="F25" s="90">
        <v>46032</v>
      </c>
      <c r="G25" s="91" t="s">
        <v>43</v>
      </c>
      <c r="H25" s="98" t="s">
        <v>88</v>
      </c>
      <c r="I25" s="90">
        <v>46032</v>
      </c>
      <c r="J25" s="91" t="s">
        <v>74</v>
      </c>
      <c r="K25" s="91" t="s">
        <v>89</v>
      </c>
      <c r="L25" s="95">
        <v>46033</v>
      </c>
      <c r="M25" s="92"/>
    </row>
    <row r="26" s="1" customFormat="1" spans="1:20">
      <c r="A26" s="87"/>
      <c r="B26" s="97" t="s">
        <v>90</v>
      </c>
      <c r="C26" s="91" t="s">
        <v>91</v>
      </c>
      <c r="D26" s="91">
        <v>125</v>
      </c>
      <c r="E26" s="98" t="s">
        <v>30</v>
      </c>
      <c r="F26" s="90">
        <v>46031</v>
      </c>
      <c r="G26" s="91" t="s">
        <v>43</v>
      </c>
      <c r="H26" s="98" t="s">
        <v>92</v>
      </c>
      <c r="I26" s="90">
        <v>46032</v>
      </c>
      <c r="J26" s="91" t="s">
        <v>58</v>
      </c>
      <c r="K26" s="98" t="s">
        <v>93</v>
      </c>
      <c r="L26" s="95">
        <v>46032</v>
      </c>
      <c r="M26" s="92"/>
    </row>
    <row r="27" s="1" customFormat="1" spans="1:20">
      <c r="A27" s="87"/>
      <c r="B27" s="97" t="s">
        <v>50</v>
      </c>
      <c r="C27" s="91" t="s">
        <v>67</v>
      </c>
      <c r="D27" s="91">
        <v>842</v>
      </c>
      <c r="E27" s="98" t="s">
        <v>30</v>
      </c>
      <c r="F27" s="90">
        <v>46032</v>
      </c>
      <c r="G27" s="91" t="s">
        <v>54</v>
      </c>
      <c r="H27" s="2" t="s">
        <v>94</v>
      </c>
      <c r="I27" s="90">
        <v>46033</v>
      </c>
      <c r="J27" s="91" t="s">
        <v>52</v>
      </c>
      <c r="K27" s="98" t="s">
        <v>95</v>
      </c>
      <c r="L27" s="95">
        <v>46033</v>
      </c>
      <c r="M27" s="101"/>
    </row>
    <row r="28" s="1" customFormat="1" spans="1:20">
      <c r="A28" s="87"/>
      <c r="B28" s="93" t="s">
        <v>61</v>
      </c>
      <c r="C28" s="91" t="s">
        <v>62</v>
      </c>
      <c r="D28" s="91">
        <v>560</v>
      </c>
      <c r="E28" s="91" t="s">
        <v>30</v>
      </c>
      <c r="F28" s="90">
        <v>46033</v>
      </c>
      <c r="G28" s="91" t="s">
        <v>80</v>
      </c>
      <c r="H28" s="94" t="s">
        <v>96</v>
      </c>
      <c r="I28" s="90">
        <v>46033</v>
      </c>
      <c r="J28" s="91" t="s">
        <v>63</v>
      </c>
      <c r="K28" s="102" t="s">
        <v>97</v>
      </c>
      <c r="L28" s="95">
        <v>46033</v>
      </c>
      <c r="M28" s="92"/>
    </row>
    <row r="29" s="1" customFormat="1" spans="1:20">
      <c r="A29" s="87"/>
      <c r="B29" s="93" t="s">
        <v>35</v>
      </c>
      <c r="C29" s="91" t="s">
        <v>36</v>
      </c>
      <c r="D29" s="91">
        <v>2097</v>
      </c>
      <c r="E29" s="91" t="s">
        <v>30</v>
      </c>
      <c r="F29" s="90">
        <v>46035</v>
      </c>
      <c r="G29" s="91" t="s">
        <v>58</v>
      </c>
      <c r="H29" s="2" t="s">
        <v>98</v>
      </c>
      <c r="I29" s="90">
        <v>46036</v>
      </c>
      <c r="J29" s="91" t="s">
        <v>54</v>
      </c>
      <c r="K29" s="102" t="s">
        <v>99</v>
      </c>
      <c r="L29" s="95">
        <v>46036</v>
      </c>
      <c r="M29" s="92"/>
    </row>
    <row r="30" s="1" customFormat="1" spans="1:20">
      <c r="A30" s="103"/>
      <c r="B30" s="93" t="s">
        <v>100</v>
      </c>
      <c r="C30" s="91" t="s">
        <v>91</v>
      </c>
      <c r="D30" s="91">
        <v>22</v>
      </c>
      <c r="E30" s="89" t="s">
        <v>30</v>
      </c>
      <c r="F30" s="90">
        <v>46032</v>
      </c>
      <c r="G30" s="91" t="s">
        <v>48</v>
      </c>
      <c r="H30" s="94" t="s">
        <v>101</v>
      </c>
      <c r="I30" s="90">
        <v>46036</v>
      </c>
      <c r="J30" s="91" t="s">
        <v>48</v>
      </c>
      <c r="K30" s="102" t="s">
        <v>102</v>
      </c>
      <c r="L30" s="95">
        <v>46037</v>
      </c>
      <c r="M30" s="92"/>
    </row>
    <row r="31" s="1" customFormat="1" spans="1:20">
      <c r="A31" s="87"/>
      <c r="B31" s="93" t="s">
        <v>103</v>
      </c>
      <c r="C31" s="91" t="s">
        <v>104</v>
      </c>
      <c r="D31" s="91">
        <v>655</v>
      </c>
      <c r="E31" s="89" t="s">
        <v>30</v>
      </c>
      <c r="F31" s="90">
        <v>46046</v>
      </c>
      <c r="G31" s="91" t="s">
        <v>105</v>
      </c>
      <c r="H31" s="104" t="s">
        <v>106</v>
      </c>
      <c r="I31" s="90">
        <v>46046</v>
      </c>
      <c r="J31" s="91" t="s">
        <v>33</v>
      </c>
      <c r="K31" s="102" t="s">
        <v>107</v>
      </c>
      <c r="L31" s="90">
        <v>46047</v>
      </c>
      <c r="M31" s="92"/>
    </row>
    <row r="32" s="1" customFormat="1" spans="1:20">
      <c r="A32" s="87"/>
      <c r="B32" s="93" t="s">
        <v>108</v>
      </c>
      <c r="C32" s="91" t="s">
        <v>91</v>
      </c>
      <c r="D32" s="91">
        <v>78</v>
      </c>
      <c r="E32" s="89" t="s">
        <v>30</v>
      </c>
      <c r="F32" s="90">
        <v>46026</v>
      </c>
      <c r="G32" s="91" t="s">
        <v>37</v>
      </c>
      <c r="H32" s="105" t="s">
        <v>109</v>
      </c>
      <c r="I32" s="90">
        <v>46047</v>
      </c>
      <c r="J32" s="91" t="s">
        <v>37</v>
      </c>
      <c r="K32" s="104" t="s">
        <v>110</v>
      </c>
      <c r="L32" s="90">
        <v>46047</v>
      </c>
      <c r="M32" s="92"/>
      <c r="N32" s="5"/>
      <c r="O32" s="5"/>
      <c r="P32" s="5"/>
      <c r="Q32" s="5"/>
      <c r="R32" s="5"/>
      <c r="S32" s="5"/>
      <c r="T32" s="5"/>
    </row>
    <row r="33" s="1" customFormat="1" spans="1:20">
      <c r="A33" s="87"/>
      <c r="B33" s="93" t="s">
        <v>35</v>
      </c>
      <c r="C33" s="91" t="s">
        <v>36</v>
      </c>
      <c r="D33" s="91">
        <v>2097</v>
      </c>
      <c r="E33" s="91" t="s">
        <v>30</v>
      </c>
      <c r="F33" s="90">
        <v>46046</v>
      </c>
      <c r="G33" s="91" t="s">
        <v>54</v>
      </c>
      <c r="H33" s="91" t="s">
        <v>111</v>
      </c>
      <c r="I33" s="90">
        <v>46047</v>
      </c>
      <c r="J33" s="91" t="s">
        <v>58</v>
      </c>
      <c r="K33" s="105" t="s">
        <v>112</v>
      </c>
      <c r="L33" s="90">
        <v>46047</v>
      </c>
      <c r="M33" s="92"/>
    </row>
    <row r="34" s="1" customFormat="1" spans="1:20">
      <c r="A34" s="87"/>
      <c r="B34" s="97" t="s">
        <v>50</v>
      </c>
      <c r="C34" s="91" t="s">
        <v>67</v>
      </c>
      <c r="D34" s="91">
        <v>842</v>
      </c>
      <c r="E34" s="91" t="s">
        <v>30</v>
      </c>
      <c r="F34" s="90">
        <v>46048</v>
      </c>
      <c r="G34" s="91" t="s">
        <v>52</v>
      </c>
      <c r="H34" s="91" t="s">
        <v>113</v>
      </c>
      <c r="I34" s="90">
        <v>46048</v>
      </c>
      <c r="J34" s="91" t="s">
        <v>54</v>
      </c>
      <c r="K34" s="91" t="s">
        <v>114</v>
      </c>
      <c r="L34" s="95">
        <v>46049</v>
      </c>
      <c r="M34" s="106"/>
    </row>
    <row r="35" s="1" customFormat="1" spans="1:20">
      <c r="A35" s="87"/>
      <c r="B35" s="93" t="s">
        <v>115</v>
      </c>
      <c r="C35" s="91" t="s">
        <v>91</v>
      </c>
      <c r="D35" s="91">
        <v>22</v>
      </c>
      <c r="E35" s="89" t="s">
        <v>30</v>
      </c>
      <c r="F35" s="90">
        <v>46047</v>
      </c>
      <c r="G35" s="91" t="s">
        <v>48</v>
      </c>
      <c r="H35" s="94" t="s">
        <v>116</v>
      </c>
      <c r="I35" s="90">
        <v>46049</v>
      </c>
      <c r="J35" s="91" t="s">
        <v>48</v>
      </c>
      <c r="K35" s="91" t="s">
        <v>117</v>
      </c>
      <c r="L35" s="95">
        <v>46050</v>
      </c>
      <c r="M35" s="92"/>
      <c r="N35" s="107"/>
      <c r="O35" s="107"/>
      <c r="P35" s="107"/>
      <c r="Q35" s="107"/>
      <c r="R35" s="107"/>
      <c r="S35" s="107"/>
      <c r="T35" s="107"/>
    </row>
    <row r="36" s="1" customFormat="1" spans="1:20">
      <c r="A36" s="87"/>
      <c r="B36" s="93" t="s">
        <v>40</v>
      </c>
      <c r="C36" s="91" t="s">
        <v>41</v>
      </c>
      <c r="D36" s="91">
        <v>1257</v>
      </c>
      <c r="E36" s="91" t="s">
        <v>30</v>
      </c>
      <c r="F36" s="90">
        <v>46049</v>
      </c>
      <c r="G36" s="91" t="s">
        <v>37</v>
      </c>
      <c r="H36" s="94" t="s">
        <v>118</v>
      </c>
      <c r="I36" s="90">
        <v>46049</v>
      </c>
      <c r="J36" s="91" t="s">
        <v>43</v>
      </c>
      <c r="K36" s="91" t="s">
        <v>119</v>
      </c>
      <c r="L36" s="95">
        <v>46050</v>
      </c>
      <c r="M36" s="92"/>
    </row>
    <row r="37" s="1" customFormat="1" spans="1:20">
      <c r="A37" s="87"/>
      <c r="B37" s="93" t="s">
        <v>120</v>
      </c>
      <c r="C37" s="91" t="s">
        <v>121</v>
      </c>
      <c r="D37" s="91">
        <v>612</v>
      </c>
      <c r="E37" s="89" t="s">
        <v>30</v>
      </c>
      <c r="F37" s="90">
        <v>46048</v>
      </c>
      <c r="G37" s="91" t="s">
        <v>33</v>
      </c>
      <c r="H37" s="94" t="s">
        <v>122</v>
      </c>
      <c r="I37" s="90">
        <v>46049</v>
      </c>
      <c r="J37" s="91" t="s">
        <v>123</v>
      </c>
      <c r="K37" s="91" t="s">
        <v>124</v>
      </c>
      <c r="L37" s="90">
        <v>46052</v>
      </c>
      <c r="M37" s="96"/>
    </row>
    <row r="38" s="1" customFormat="1" spans="1:20">
      <c r="A38" s="87"/>
      <c r="B38" s="93" t="s">
        <v>125</v>
      </c>
      <c r="C38" s="91" t="s">
        <v>126</v>
      </c>
      <c r="D38" s="91">
        <v>162</v>
      </c>
      <c r="E38" s="89" t="s">
        <v>30</v>
      </c>
      <c r="F38" s="90">
        <v>46032</v>
      </c>
      <c r="G38" s="91" t="s">
        <v>33</v>
      </c>
      <c r="H38" s="94" t="s">
        <v>127</v>
      </c>
      <c r="I38" s="90">
        <v>46049</v>
      </c>
      <c r="J38" s="91" t="s">
        <v>31</v>
      </c>
      <c r="K38" s="91" t="s">
        <v>128</v>
      </c>
      <c r="L38" s="90">
        <v>46052</v>
      </c>
      <c r="M38" s="92"/>
    </row>
    <row r="39" s="1" customFormat="1" spans="1:20">
      <c r="A39" s="87"/>
      <c r="B39" s="93" t="s">
        <v>61</v>
      </c>
      <c r="C39" s="91" t="s">
        <v>62</v>
      </c>
      <c r="D39" s="91">
        <v>560</v>
      </c>
      <c r="E39" s="98" t="s">
        <v>30</v>
      </c>
      <c r="F39" s="90">
        <v>46049</v>
      </c>
      <c r="G39" s="91" t="s">
        <v>63</v>
      </c>
      <c r="H39" s="94" t="s">
        <v>129</v>
      </c>
      <c r="I39" s="90">
        <v>46049</v>
      </c>
      <c r="J39" s="91" t="s">
        <v>65</v>
      </c>
      <c r="K39" s="91" t="s">
        <v>130</v>
      </c>
      <c r="L39" s="90">
        <v>46050</v>
      </c>
      <c r="M39" s="92"/>
    </row>
    <row r="40" s="1" customFormat="1" spans="1:20">
      <c r="A40" s="87"/>
      <c r="B40" s="93" t="s">
        <v>72</v>
      </c>
      <c r="C40" s="91" t="s">
        <v>73</v>
      </c>
      <c r="D40" s="91">
        <v>2090</v>
      </c>
      <c r="E40" s="89" t="s">
        <v>30</v>
      </c>
      <c r="F40" s="90">
        <v>46049</v>
      </c>
      <c r="G40" s="91" t="s">
        <v>74</v>
      </c>
      <c r="H40" s="91" t="s">
        <v>131</v>
      </c>
      <c r="I40" s="90">
        <v>46049</v>
      </c>
      <c r="J40" s="91" t="s">
        <v>43</v>
      </c>
      <c r="K40" s="91" t="s">
        <v>132</v>
      </c>
      <c r="L40" s="95">
        <v>46050</v>
      </c>
      <c r="M40" s="108"/>
    </row>
    <row r="41" s="1" customFormat="1" spans="1:20">
      <c r="A41" s="87"/>
      <c r="B41" s="97" t="s">
        <v>50</v>
      </c>
      <c r="C41" s="91" t="s">
        <v>67</v>
      </c>
      <c r="D41" s="91">
        <v>842</v>
      </c>
      <c r="E41" s="98" t="s">
        <v>30</v>
      </c>
      <c r="F41" s="90">
        <v>46050</v>
      </c>
      <c r="G41" s="91" t="s">
        <v>54</v>
      </c>
      <c r="H41" s="2" t="s">
        <v>133</v>
      </c>
      <c r="I41" s="90">
        <v>46050</v>
      </c>
      <c r="J41" s="91" t="s">
        <v>52</v>
      </c>
      <c r="K41" s="91" t="s">
        <v>134</v>
      </c>
      <c r="L41" s="95">
        <v>46050</v>
      </c>
      <c r="M41" s="96"/>
    </row>
    <row r="42" s="1" customFormat="1" spans="1:20">
      <c r="A42" s="87"/>
      <c r="B42" s="93" t="s">
        <v>135</v>
      </c>
      <c r="C42" s="91" t="s">
        <v>136</v>
      </c>
      <c r="D42" s="91">
        <v>672</v>
      </c>
      <c r="E42" s="91" t="s">
        <v>30</v>
      </c>
      <c r="F42" s="90">
        <v>46050</v>
      </c>
      <c r="G42" s="91" t="s">
        <v>33</v>
      </c>
      <c r="H42" s="94" t="s">
        <v>137</v>
      </c>
      <c r="I42" s="90">
        <v>46051</v>
      </c>
      <c r="J42" s="91" t="s">
        <v>138</v>
      </c>
      <c r="K42" s="91" t="s">
        <v>139</v>
      </c>
      <c r="L42" s="95">
        <v>46054</v>
      </c>
      <c r="M42" s="92"/>
    </row>
    <row r="43" s="1" customFormat="1" spans="1:20">
      <c r="A43" s="87"/>
      <c r="B43" s="93" t="s">
        <v>84</v>
      </c>
      <c r="C43" s="91" t="s">
        <v>85</v>
      </c>
      <c r="D43" s="91">
        <v>36</v>
      </c>
      <c r="E43" s="89" t="s">
        <v>30</v>
      </c>
      <c r="F43" s="90">
        <v>46050</v>
      </c>
      <c r="G43" s="91" t="s">
        <v>48</v>
      </c>
      <c r="H43" s="94" t="s">
        <v>140</v>
      </c>
      <c r="I43" s="90">
        <v>46051</v>
      </c>
      <c r="J43" s="91" t="s">
        <v>48</v>
      </c>
      <c r="K43" s="91" t="s">
        <v>141</v>
      </c>
      <c r="L43" s="90">
        <v>46052</v>
      </c>
      <c r="M43" s="92"/>
    </row>
    <row r="44" s="1" customFormat="1" spans="1:20">
      <c r="A44" s="87"/>
      <c r="B44" s="93" t="s">
        <v>142</v>
      </c>
      <c r="C44" s="91" t="s">
        <v>143</v>
      </c>
      <c r="D44" s="91">
        <v>5602</v>
      </c>
      <c r="E44" s="91" t="s">
        <v>144</v>
      </c>
      <c r="F44" s="95">
        <v>46051</v>
      </c>
      <c r="G44" s="91" t="s">
        <v>145</v>
      </c>
      <c r="H44" s="91" t="s">
        <v>146</v>
      </c>
      <c r="I44" s="90">
        <v>46051</v>
      </c>
      <c r="J44" s="91" t="s">
        <v>63</v>
      </c>
      <c r="K44" s="91" t="s">
        <v>147</v>
      </c>
      <c r="L44" s="95">
        <v>46052</v>
      </c>
      <c r="M44" s="92"/>
    </row>
    <row r="45" s="1" customFormat="1" spans="1:20">
      <c r="A45" s="87"/>
      <c r="B45" s="93" t="s">
        <v>61</v>
      </c>
      <c r="C45" s="91" t="s">
        <v>62</v>
      </c>
      <c r="D45" s="91">
        <v>560</v>
      </c>
      <c r="E45" s="98" t="s">
        <v>30</v>
      </c>
      <c r="F45" s="90">
        <v>46051</v>
      </c>
      <c r="G45" s="91" t="s">
        <v>65</v>
      </c>
      <c r="H45" s="94" t="s">
        <v>148</v>
      </c>
      <c r="I45" s="90">
        <v>46051</v>
      </c>
      <c r="J45" s="91" t="s">
        <v>63</v>
      </c>
      <c r="K45" s="91" t="s">
        <v>149</v>
      </c>
      <c r="L45" s="95">
        <v>46052</v>
      </c>
      <c r="M45" s="92"/>
    </row>
    <row r="46" s="1" customFormat="1" spans="1:20">
      <c r="A46" s="109"/>
      <c r="B46" s="93" t="s">
        <v>72</v>
      </c>
      <c r="C46" s="91" t="s">
        <v>73</v>
      </c>
      <c r="D46" s="91">
        <v>2090</v>
      </c>
      <c r="E46" s="89" t="s">
        <v>30</v>
      </c>
      <c r="F46" s="110">
        <v>46052</v>
      </c>
      <c r="G46" s="111" t="s">
        <v>43</v>
      </c>
      <c r="H46" s="112" t="s">
        <v>150</v>
      </c>
      <c r="I46" s="110">
        <v>46052</v>
      </c>
      <c r="J46" s="111" t="s">
        <v>74</v>
      </c>
      <c r="K46" s="91" t="s">
        <v>151</v>
      </c>
      <c r="L46" s="110">
        <v>46053</v>
      </c>
      <c r="M46" s="113"/>
    </row>
    <row r="47" s="1" customFormat="1" ht="15.75" spans="1:20">
      <c r="A47" s="109"/>
      <c r="B47" s="97" t="s">
        <v>50</v>
      </c>
      <c r="C47" s="91" t="s">
        <v>67</v>
      </c>
      <c r="D47" s="91">
        <v>842</v>
      </c>
      <c r="E47" s="91" t="s">
        <v>30</v>
      </c>
      <c r="F47" s="90">
        <v>46052</v>
      </c>
      <c r="G47" s="91" t="s">
        <v>52</v>
      </c>
      <c r="H47" s="91" t="s">
        <v>152</v>
      </c>
      <c r="I47" s="90">
        <v>46052</v>
      </c>
      <c r="J47" s="91" t="s">
        <v>54</v>
      </c>
      <c r="K47" s="91" t="s">
        <v>153</v>
      </c>
      <c r="L47" s="95">
        <v>46053</v>
      </c>
      <c r="M47" s="113"/>
    </row>
    <row r="48" s="1" customFormat="1" ht="16.5" spans="1:20">
      <c r="A48" s="114">
        <v>1</v>
      </c>
      <c r="B48" s="81">
        <v>2</v>
      </c>
      <c r="C48" s="81">
        <v>3</v>
      </c>
      <c r="D48" s="81">
        <v>4</v>
      </c>
      <c r="E48" s="81">
        <v>5</v>
      </c>
      <c r="F48" s="81">
        <v>6</v>
      </c>
      <c r="G48" s="81">
        <v>7</v>
      </c>
      <c r="H48" s="81">
        <v>8</v>
      </c>
      <c r="I48" s="81">
        <v>9</v>
      </c>
      <c r="J48" s="81">
        <v>10</v>
      </c>
      <c r="K48" s="81">
        <v>11</v>
      </c>
      <c r="L48" s="81">
        <v>12</v>
      </c>
      <c r="M48" s="82">
        <v>13</v>
      </c>
    </row>
    <row r="49" s="1" customFormat="1" ht="15.75" spans="1:20">
      <c r="A49" s="115"/>
      <c r="B49" s="93" t="s">
        <v>35</v>
      </c>
      <c r="C49" s="91" t="s">
        <v>36</v>
      </c>
      <c r="D49" s="91">
        <v>2097</v>
      </c>
      <c r="E49" s="91" t="s">
        <v>30</v>
      </c>
      <c r="F49" s="90">
        <v>46052</v>
      </c>
      <c r="G49" s="91" t="s">
        <v>58</v>
      </c>
      <c r="H49" s="2" t="s">
        <v>154</v>
      </c>
      <c r="I49" s="90">
        <v>46053</v>
      </c>
      <c r="J49" s="91" t="s">
        <v>54</v>
      </c>
      <c r="K49" s="102" t="s">
        <v>155</v>
      </c>
      <c r="L49" s="95">
        <v>46053</v>
      </c>
      <c r="M49" s="92"/>
    </row>
    <row r="50" s="1" customFormat="1" spans="1:20">
      <c r="A50" s="87"/>
      <c r="B50" s="93" t="s">
        <v>108</v>
      </c>
      <c r="C50" s="91" t="s">
        <v>91</v>
      </c>
      <c r="D50" s="91">
        <v>78</v>
      </c>
      <c r="E50" s="89" t="s">
        <v>30</v>
      </c>
      <c r="F50" s="90"/>
      <c r="G50" s="91" t="s">
        <v>37</v>
      </c>
      <c r="H50" s="94" t="s">
        <v>156</v>
      </c>
      <c r="I50" s="90"/>
      <c r="J50" s="91" t="s">
        <v>37</v>
      </c>
      <c r="K50" s="91"/>
      <c r="L50" s="95"/>
      <c r="M50" s="92"/>
      <c r="N50" s="5"/>
      <c r="O50" s="5"/>
      <c r="P50" s="5"/>
      <c r="Q50" s="5"/>
      <c r="R50" s="5"/>
      <c r="S50" s="5"/>
      <c r="T50" s="5"/>
    </row>
    <row r="51" s="1" customFormat="1" spans="1:20">
      <c r="A51" s="87"/>
      <c r="B51" s="93" t="s">
        <v>61</v>
      </c>
      <c r="C51" s="91" t="s">
        <v>62</v>
      </c>
      <c r="D51" s="91">
        <v>560</v>
      </c>
      <c r="E51" s="98" t="s">
        <v>30</v>
      </c>
      <c r="F51" s="90"/>
      <c r="G51" s="91" t="s">
        <v>63</v>
      </c>
      <c r="H51" s="94" t="s">
        <v>157</v>
      </c>
      <c r="I51" s="90"/>
      <c r="J51" s="91" t="s">
        <v>80</v>
      </c>
      <c r="K51" s="91"/>
      <c r="L51" s="90"/>
      <c r="M51" s="92"/>
    </row>
    <row r="52" s="1" customFormat="1" spans="1:20">
      <c r="A52" s="87"/>
      <c r="B52" s="97" t="s">
        <v>50</v>
      </c>
      <c r="C52" s="91" t="s">
        <v>67</v>
      </c>
      <c r="D52" s="91">
        <v>842</v>
      </c>
      <c r="E52" s="98" t="s">
        <v>30</v>
      </c>
      <c r="F52" s="90"/>
      <c r="G52" s="91" t="s">
        <v>52</v>
      </c>
      <c r="H52" s="91" t="s">
        <v>158</v>
      </c>
      <c r="I52" s="90"/>
      <c r="J52" s="91" t="s">
        <v>54</v>
      </c>
      <c r="K52" s="91"/>
      <c r="L52" s="90"/>
      <c r="M52" s="92"/>
    </row>
    <row r="53" s="1" customFormat="1" spans="1:20">
      <c r="A53" s="87"/>
      <c r="B53" s="97" t="s">
        <v>159</v>
      </c>
      <c r="C53" s="91" t="s">
        <v>91</v>
      </c>
      <c r="D53" s="91">
        <v>165</v>
      </c>
      <c r="E53" s="98" t="s">
        <v>30</v>
      </c>
      <c r="F53" s="90"/>
      <c r="G53" s="91" t="s">
        <v>48</v>
      </c>
      <c r="H53" s="94" t="s">
        <v>160</v>
      </c>
      <c r="I53" s="90"/>
      <c r="J53" s="91" t="s">
        <v>54</v>
      </c>
      <c r="K53" s="91"/>
      <c r="L53" s="90"/>
      <c r="M53" s="92"/>
    </row>
    <row r="54" s="1" customFormat="1" spans="1:20">
      <c r="A54" s="87"/>
      <c r="B54" s="97" t="s">
        <v>50</v>
      </c>
      <c r="C54" s="91" t="s">
        <v>67</v>
      </c>
      <c r="D54" s="91">
        <v>842</v>
      </c>
      <c r="E54" s="98" t="s">
        <v>30</v>
      </c>
      <c r="F54" s="90"/>
      <c r="G54" s="91" t="s">
        <v>54</v>
      </c>
      <c r="H54" s="91" t="s">
        <v>161</v>
      </c>
      <c r="I54" s="90"/>
      <c r="J54" s="91" t="s">
        <v>52</v>
      </c>
      <c r="K54" s="91"/>
      <c r="L54" s="90"/>
      <c r="M54" s="92"/>
    </row>
    <row r="55" s="1" customFormat="1" spans="1:20">
      <c r="A55" s="87"/>
      <c r="B55" s="93" t="s">
        <v>61</v>
      </c>
      <c r="C55" s="91" t="s">
        <v>62</v>
      </c>
      <c r="D55" s="91">
        <v>560</v>
      </c>
      <c r="E55" s="91" t="s">
        <v>30</v>
      </c>
      <c r="F55" s="90"/>
      <c r="G55" s="91" t="s">
        <v>80</v>
      </c>
      <c r="H55" s="94" t="s">
        <v>162</v>
      </c>
      <c r="I55" s="90"/>
      <c r="J55" s="91" t="s">
        <v>63</v>
      </c>
      <c r="K55" s="91"/>
      <c r="L55" s="95"/>
      <c r="M55" s="92"/>
    </row>
    <row r="56" s="1" customFormat="1" spans="1:20">
      <c r="A56" s="87"/>
      <c r="B56" s="93" t="s">
        <v>163</v>
      </c>
      <c r="C56" s="91" t="s">
        <v>164</v>
      </c>
      <c r="D56" s="91">
        <v>643</v>
      </c>
      <c r="E56" s="89" t="s">
        <v>30</v>
      </c>
      <c r="F56" s="90"/>
      <c r="G56" s="91" t="s">
        <v>33</v>
      </c>
      <c r="H56" s="94" t="s">
        <v>165</v>
      </c>
      <c r="I56" s="90"/>
      <c r="J56" s="91" t="s">
        <v>123</v>
      </c>
      <c r="K56" s="91"/>
      <c r="L56" s="95"/>
      <c r="M56" s="92"/>
    </row>
    <row r="57" s="1" customFormat="1" spans="1:20">
      <c r="A57" s="87"/>
      <c r="B57" s="97" t="s">
        <v>50</v>
      </c>
      <c r="C57" s="91" t="s">
        <v>67</v>
      </c>
      <c r="D57" s="91">
        <v>842</v>
      </c>
      <c r="E57" s="98" t="s">
        <v>30</v>
      </c>
      <c r="F57" s="90"/>
      <c r="G57" s="91" t="s">
        <v>52</v>
      </c>
      <c r="H57" s="91" t="s">
        <v>166</v>
      </c>
      <c r="I57" s="90"/>
      <c r="J57" s="91" t="s">
        <v>54</v>
      </c>
      <c r="K57" s="91"/>
      <c r="L57" s="95"/>
      <c r="M57" s="92"/>
    </row>
    <row r="58" s="1" customFormat="1" spans="1:20">
      <c r="A58" s="87"/>
      <c r="B58" s="93" t="s">
        <v>167</v>
      </c>
      <c r="C58" s="91" t="s">
        <v>168</v>
      </c>
      <c r="D58" s="91">
        <v>250</v>
      </c>
      <c r="E58" s="91" t="s">
        <v>30</v>
      </c>
      <c r="F58" s="90"/>
      <c r="G58" s="91" t="s">
        <v>169</v>
      </c>
      <c r="H58" s="94" t="s">
        <v>170</v>
      </c>
      <c r="I58" s="90"/>
      <c r="J58" s="91" t="s">
        <v>171</v>
      </c>
      <c r="K58" s="91"/>
      <c r="L58" s="95"/>
      <c r="M58" s="92"/>
    </row>
    <row r="59" s="1" customFormat="1" spans="1:20">
      <c r="A59" s="116"/>
      <c r="B59" s="93" t="s">
        <v>61</v>
      </c>
      <c r="C59" s="91" t="s">
        <v>62</v>
      </c>
      <c r="D59" s="91">
        <v>560</v>
      </c>
      <c r="E59" s="98" t="s">
        <v>30</v>
      </c>
      <c r="F59" s="90"/>
      <c r="G59" s="91" t="s">
        <v>63</v>
      </c>
      <c r="H59" s="94" t="s">
        <v>172</v>
      </c>
      <c r="I59" s="90"/>
      <c r="J59" s="91" t="s">
        <v>65</v>
      </c>
      <c r="K59" s="91"/>
      <c r="L59" s="95"/>
      <c r="M59" s="92"/>
    </row>
    <row r="60" s="1" customFormat="1" spans="1:20">
      <c r="A60" s="87"/>
      <c r="B60" s="93" t="s">
        <v>173</v>
      </c>
      <c r="C60" s="91" t="s">
        <v>91</v>
      </c>
      <c r="D60" s="91">
        <v>17</v>
      </c>
      <c r="E60" s="91" t="s">
        <v>30</v>
      </c>
      <c r="F60" s="90"/>
      <c r="G60" s="91" t="s">
        <v>48</v>
      </c>
      <c r="H60" s="94" t="s">
        <v>174</v>
      </c>
      <c r="I60" s="90"/>
      <c r="J60" s="91" t="s">
        <v>48</v>
      </c>
      <c r="K60" s="91"/>
      <c r="L60" s="95"/>
      <c r="M60" s="92"/>
    </row>
    <row r="61" s="1" customFormat="1" spans="1:20">
      <c r="A61" s="87"/>
      <c r="B61" s="93" t="s">
        <v>72</v>
      </c>
      <c r="C61" s="91" t="s">
        <v>73</v>
      </c>
      <c r="D61" s="91">
        <v>2090</v>
      </c>
      <c r="E61" s="89" t="s">
        <v>30</v>
      </c>
      <c r="F61" s="90"/>
      <c r="G61" s="91" t="s">
        <v>74</v>
      </c>
      <c r="H61" s="91" t="s">
        <v>175</v>
      </c>
      <c r="I61" s="90"/>
      <c r="J61" s="91" t="s">
        <v>43</v>
      </c>
      <c r="K61" s="91"/>
      <c r="L61" s="95"/>
      <c r="M61" s="92"/>
    </row>
    <row r="62" s="1" customFormat="1" spans="1:20">
      <c r="A62" s="87"/>
      <c r="B62" s="97" t="s">
        <v>50</v>
      </c>
      <c r="C62" s="91" t="s">
        <v>67</v>
      </c>
      <c r="D62" s="91">
        <v>842</v>
      </c>
      <c r="E62" s="98" t="s">
        <v>30</v>
      </c>
      <c r="F62" s="90"/>
      <c r="G62" s="91" t="s">
        <v>54</v>
      </c>
      <c r="H62" s="91" t="s">
        <v>176</v>
      </c>
      <c r="I62" s="90"/>
      <c r="J62" s="91" t="s">
        <v>52</v>
      </c>
      <c r="K62" s="91"/>
      <c r="L62" s="95"/>
      <c r="M62" s="92"/>
    </row>
    <row r="63" s="1" customFormat="1" spans="1:20">
      <c r="A63" s="87"/>
      <c r="B63" s="93" t="s">
        <v>35</v>
      </c>
      <c r="C63" s="91" t="s">
        <v>36</v>
      </c>
      <c r="D63" s="91">
        <v>2097</v>
      </c>
      <c r="E63" s="91" t="s">
        <v>30</v>
      </c>
      <c r="F63" s="90"/>
      <c r="G63" s="91" t="s">
        <v>58</v>
      </c>
      <c r="H63" s="91" t="s">
        <v>177</v>
      </c>
      <c r="I63" s="90"/>
      <c r="J63" s="1" t="s">
        <v>54</v>
      </c>
      <c r="K63" s="91"/>
      <c r="L63" s="95"/>
      <c r="M63" s="92"/>
    </row>
    <row r="64" s="1" customFormat="1" spans="1:20">
      <c r="A64" s="87"/>
      <c r="B64" s="93" t="s">
        <v>45</v>
      </c>
      <c r="C64" s="91" t="s">
        <v>91</v>
      </c>
      <c r="D64" s="91">
        <v>104</v>
      </c>
      <c r="E64" s="89" t="s">
        <v>30</v>
      </c>
      <c r="F64" s="90"/>
      <c r="G64" s="91" t="s">
        <v>48</v>
      </c>
      <c r="H64" s="94" t="s">
        <v>178</v>
      </c>
      <c r="I64" s="90"/>
      <c r="J64" s="91" t="s">
        <v>37</v>
      </c>
      <c r="K64" s="91"/>
      <c r="L64" s="95"/>
      <c r="M64" s="92"/>
    </row>
    <row r="65" s="1" customFormat="1" spans="1:13">
      <c r="A65" s="87"/>
      <c r="B65" s="93" t="s">
        <v>179</v>
      </c>
      <c r="C65" s="91" t="s">
        <v>91</v>
      </c>
      <c r="D65" s="91">
        <v>19</v>
      </c>
      <c r="E65" s="91" t="s">
        <v>30</v>
      </c>
      <c r="F65" s="90"/>
      <c r="G65" s="91" t="s">
        <v>80</v>
      </c>
      <c r="H65" s="91" t="s">
        <v>180</v>
      </c>
      <c r="I65" s="90"/>
      <c r="J65" s="91" t="s">
        <v>181</v>
      </c>
      <c r="K65" s="91"/>
      <c r="L65" s="95"/>
      <c r="M65" s="92"/>
    </row>
    <row r="66" s="1" customFormat="1" spans="1:13">
      <c r="A66" s="116"/>
      <c r="B66" s="97" t="s">
        <v>182</v>
      </c>
      <c r="C66" s="91" t="s">
        <v>91</v>
      </c>
      <c r="D66" s="91">
        <v>118</v>
      </c>
      <c r="E66" s="98" t="s">
        <v>30</v>
      </c>
      <c r="F66" s="90"/>
      <c r="G66" s="91" t="s">
        <v>33</v>
      </c>
      <c r="H66" s="91" t="s">
        <v>183</v>
      </c>
      <c r="I66" s="90"/>
      <c r="J66" s="91" t="s">
        <v>184</v>
      </c>
      <c r="K66" s="91"/>
      <c r="L66" s="95"/>
      <c r="M66" s="92"/>
    </row>
    <row r="67" s="1" customFormat="1" spans="1:13">
      <c r="A67" s="87"/>
      <c r="B67" s="93" t="s">
        <v>61</v>
      </c>
      <c r="C67" s="91" t="s">
        <v>62</v>
      </c>
      <c r="D67" s="91">
        <v>560</v>
      </c>
      <c r="E67" s="91" t="s">
        <v>30</v>
      </c>
      <c r="F67" s="90"/>
      <c r="G67" s="91" t="s">
        <v>65</v>
      </c>
      <c r="H67" s="91" t="s">
        <v>185</v>
      </c>
      <c r="I67" s="90"/>
      <c r="J67" s="91" t="s">
        <v>63</v>
      </c>
      <c r="K67" s="91"/>
      <c r="L67" s="95"/>
      <c r="M67" s="92"/>
    </row>
    <row r="68" s="1" customFormat="1" spans="1:13">
      <c r="A68" s="87"/>
      <c r="B68" s="93" t="s">
        <v>84</v>
      </c>
      <c r="C68" s="91" t="s">
        <v>85</v>
      </c>
      <c r="D68" s="91">
        <v>36</v>
      </c>
      <c r="E68" s="89" t="s">
        <v>30</v>
      </c>
      <c r="F68" s="90"/>
      <c r="G68" s="91" t="s">
        <v>48</v>
      </c>
      <c r="H68" s="94" t="s">
        <v>186</v>
      </c>
      <c r="I68" s="90"/>
      <c r="J68" s="91" t="s">
        <v>48</v>
      </c>
      <c r="K68" s="91"/>
      <c r="L68" s="95"/>
      <c r="M68" s="92"/>
    </row>
    <row r="69" s="1" customFormat="1" spans="1:13">
      <c r="A69" s="116"/>
      <c r="B69" s="93" t="s">
        <v>72</v>
      </c>
      <c r="C69" s="91" t="s">
        <v>73</v>
      </c>
      <c r="D69" s="91">
        <v>2090</v>
      </c>
      <c r="E69" s="89" t="s">
        <v>30</v>
      </c>
      <c r="F69" s="90"/>
      <c r="G69" s="91" t="s">
        <v>43</v>
      </c>
      <c r="H69" s="91" t="s">
        <v>187</v>
      </c>
      <c r="I69" s="90"/>
      <c r="J69" s="91" t="s">
        <v>74</v>
      </c>
      <c r="K69" s="91"/>
      <c r="L69" s="95"/>
      <c r="M69" s="92"/>
    </row>
    <row r="70" s="1" customFormat="1" spans="1:13">
      <c r="A70" s="87"/>
      <c r="B70" s="93" t="s">
        <v>61</v>
      </c>
      <c r="C70" s="91" t="s">
        <v>62</v>
      </c>
      <c r="D70" s="91">
        <v>560</v>
      </c>
      <c r="E70" s="91" t="s">
        <v>30</v>
      </c>
      <c r="F70" s="90"/>
      <c r="G70" s="91" t="s">
        <v>63</v>
      </c>
      <c r="H70" s="94" t="s">
        <v>188</v>
      </c>
      <c r="I70" s="90"/>
      <c r="J70" s="91" t="s">
        <v>65</v>
      </c>
      <c r="K70" s="91"/>
      <c r="L70" s="95"/>
      <c r="M70" s="92"/>
    </row>
    <row r="71" s="1" customFormat="1" spans="1:13">
      <c r="A71" s="87"/>
      <c r="B71" s="93" t="s">
        <v>35</v>
      </c>
      <c r="C71" s="91" t="s">
        <v>36</v>
      </c>
      <c r="D71" s="91">
        <v>2097</v>
      </c>
      <c r="E71" s="91" t="s">
        <v>30</v>
      </c>
      <c r="F71" s="90"/>
      <c r="G71" s="91" t="s">
        <v>54</v>
      </c>
      <c r="H71" s="91" t="s">
        <v>189</v>
      </c>
      <c r="I71" s="90"/>
      <c r="J71" s="91" t="s">
        <v>58</v>
      </c>
      <c r="K71" s="91"/>
      <c r="L71" s="95"/>
      <c r="M71" s="92"/>
    </row>
    <row r="72" s="1" customFormat="1" spans="1:13">
      <c r="A72" s="87"/>
      <c r="B72" s="93" t="s">
        <v>61</v>
      </c>
      <c r="C72" s="91" t="s">
        <v>62</v>
      </c>
      <c r="D72" s="91">
        <v>560</v>
      </c>
      <c r="E72" s="98" t="s">
        <v>30</v>
      </c>
      <c r="F72" s="90"/>
      <c r="G72" s="91" t="s">
        <v>65</v>
      </c>
      <c r="H72" s="94" t="s">
        <v>190</v>
      </c>
      <c r="I72" s="90"/>
      <c r="J72" s="91" t="s">
        <v>63</v>
      </c>
      <c r="K72" s="91"/>
      <c r="L72" s="90"/>
      <c r="M72" s="92"/>
    </row>
    <row r="73" s="1" customFormat="1" spans="1:13">
      <c r="A73" s="87"/>
      <c r="B73" s="93" t="s">
        <v>191</v>
      </c>
      <c r="C73" s="91" t="s">
        <v>91</v>
      </c>
      <c r="D73" s="91">
        <v>22</v>
      </c>
      <c r="E73" s="89" t="s">
        <v>30</v>
      </c>
      <c r="F73" s="90"/>
      <c r="G73" s="91" t="s">
        <v>48</v>
      </c>
      <c r="H73" s="91" t="s">
        <v>192</v>
      </c>
      <c r="I73" s="90"/>
      <c r="J73" s="91" t="s">
        <v>48</v>
      </c>
      <c r="K73" s="91"/>
      <c r="L73" s="90"/>
      <c r="M73" s="92"/>
    </row>
    <row r="74" s="1" customFormat="1" spans="1:13">
      <c r="A74" s="87"/>
      <c r="B74" s="93" t="s">
        <v>108</v>
      </c>
      <c r="C74" s="91" t="s">
        <v>91</v>
      </c>
      <c r="D74" s="91">
        <v>78</v>
      </c>
      <c r="E74" s="89" t="s">
        <v>30</v>
      </c>
      <c r="F74" s="90"/>
      <c r="G74" s="91" t="s">
        <v>37</v>
      </c>
      <c r="H74" s="94" t="s">
        <v>193</v>
      </c>
      <c r="I74" s="90"/>
      <c r="J74" s="91" t="s">
        <v>37</v>
      </c>
      <c r="K74" s="91"/>
      <c r="L74" s="95"/>
      <c r="M74" s="92"/>
    </row>
    <row r="75" s="1" customFormat="1" spans="1:13">
      <c r="A75" s="87"/>
      <c r="B75" s="93" t="s">
        <v>194</v>
      </c>
      <c r="C75" s="91" t="s">
        <v>91</v>
      </c>
      <c r="D75" s="91">
        <v>11</v>
      </c>
      <c r="E75" s="91" t="s">
        <v>30</v>
      </c>
      <c r="F75" s="90"/>
      <c r="G75" s="91" t="s">
        <v>181</v>
      </c>
      <c r="H75" s="94" t="s">
        <v>91</v>
      </c>
      <c r="I75" s="90"/>
      <c r="J75" s="91" t="s">
        <v>181</v>
      </c>
      <c r="K75" s="91"/>
      <c r="L75" s="95"/>
      <c r="M75" s="92"/>
    </row>
    <row r="76" s="1" customFormat="1" spans="1:13">
      <c r="A76" s="87"/>
      <c r="B76" s="93" t="s">
        <v>195</v>
      </c>
      <c r="C76" s="91" t="s">
        <v>91</v>
      </c>
      <c r="D76" s="91">
        <v>1245</v>
      </c>
      <c r="E76" s="91" t="s">
        <v>30</v>
      </c>
      <c r="F76" s="90"/>
      <c r="G76" s="91" t="s">
        <v>33</v>
      </c>
      <c r="H76" s="91" t="s">
        <v>196</v>
      </c>
      <c r="I76" s="90"/>
      <c r="J76" s="91" t="s">
        <v>197</v>
      </c>
      <c r="K76" s="91"/>
      <c r="L76" s="95"/>
      <c r="M76" s="92"/>
    </row>
    <row r="77" s="1" customFormat="1" spans="1:13">
      <c r="A77" s="87"/>
      <c r="B77" s="88" t="s">
        <v>28</v>
      </c>
      <c r="C77" s="89" t="s">
        <v>29</v>
      </c>
      <c r="D77" s="89">
        <v>161</v>
      </c>
      <c r="E77" s="89" t="s">
        <v>30</v>
      </c>
      <c r="F77" s="90"/>
      <c r="G77" s="89" t="s">
        <v>31</v>
      </c>
      <c r="H77" s="89" t="s">
        <v>32</v>
      </c>
      <c r="I77" s="90"/>
      <c r="J77" s="89" t="s">
        <v>33</v>
      </c>
      <c r="K77" s="91"/>
      <c r="L77" s="90"/>
      <c r="M77" s="92"/>
    </row>
    <row r="78" s="1" customFormat="1" spans="1:13">
      <c r="A78" s="87"/>
      <c r="B78" s="93" t="s">
        <v>35</v>
      </c>
      <c r="C78" s="91" t="s">
        <v>36</v>
      </c>
      <c r="D78" s="91">
        <v>2097</v>
      </c>
      <c r="E78" s="91" t="s">
        <v>30</v>
      </c>
      <c r="F78" s="90"/>
      <c r="G78" s="91" t="s">
        <v>37</v>
      </c>
      <c r="H78" s="91" t="s">
        <v>38</v>
      </c>
      <c r="I78" s="90"/>
      <c r="J78" s="91" t="s">
        <v>37</v>
      </c>
      <c r="K78" s="91"/>
      <c r="L78" s="90"/>
      <c r="M78" s="92"/>
    </row>
    <row r="79" s="1" customFormat="1" spans="1:13">
      <c r="A79" s="87"/>
      <c r="B79" s="93"/>
      <c r="C79" s="91"/>
      <c r="D79" s="91"/>
      <c r="E79" s="91"/>
      <c r="F79" s="90"/>
      <c r="G79" s="91"/>
      <c r="H79" s="91"/>
      <c r="I79" s="90"/>
      <c r="J79" s="91"/>
      <c r="K79" s="91"/>
      <c r="L79" s="90"/>
      <c r="M79" s="92"/>
    </row>
    <row r="80" s="1" customFormat="1" spans="1:13">
      <c r="A80" s="87"/>
      <c r="B80" s="93"/>
      <c r="C80" s="91"/>
      <c r="D80" s="91"/>
      <c r="E80" s="91"/>
      <c r="F80" s="90"/>
      <c r="G80" s="91"/>
      <c r="H80" s="91"/>
      <c r="I80" s="90"/>
      <c r="J80" s="91"/>
      <c r="K80" s="91"/>
      <c r="L80" s="90"/>
      <c r="M80" s="92"/>
    </row>
    <row r="81" s="1" customFormat="1" spans="1:20">
      <c r="A81" s="87"/>
      <c r="B81" s="93"/>
      <c r="C81" s="91"/>
      <c r="D81" s="91"/>
      <c r="E81" s="91"/>
      <c r="F81" s="90"/>
      <c r="G81" s="91"/>
      <c r="H81" s="91"/>
      <c r="I81" s="90"/>
      <c r="J81" s="91"/>
      <c r="K81" s="91"/>
      <c r="L81" s="90"/>
      <c r="M81" s="92"/>
    </row>
    <row r="82" s="1" customFormat="1" spans="1:20">
      <c r="A82" s="87"/>
      <c r="B82" s="93"/>
      <c r="C82" s="91"/>
      <c r="D82" s="91"/>
      <c r="E82" s="91"/>
      <c r="F82" s="90"/>
      <c r="G82" s="91"/>
      <c r="H82" s="91"/>
      <c r="I82" s="90"/>
      <c r="J82" s="91"/>
      <c r="K82" s="91"/>
      <c r="L82" s="90"/>
      <c r="M82" s="92"/>
    </row>
    <row r="83" s="1" customFormat="1" spans="1:20">
      <c r="A83" s="117"/>
      <c r="B83" s="118" t="s">
        <v>198</v>
      </c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20"/>
      <c r="N83" s="36"/>
      <c r="O83" s="36"/>
      <c r="P83" s="36"/>
      <c r="Q83" s="36"/>
      <c r="R83" s="36"/>
      <c r="S83" s="36"/>
      <c r="T83" s="37"/>
    </row>
    <row r="84" s="1" customFormat="1" spans="1:20">
      <c r="A84" s="121"/>
      <c r="B84" s="88" t="s">
        <v>199</v>
      </c>
      <c r="C84" s="89" t="s">
        <v>91</v>
      </c>
      <c r="D84" s="122">
        <v>18</v>
      </c>
      <c r="E84" s="89" t="s">
        <v>30</v>
      </c>
      <c r="F84" s="90">
        <v>45960</v>
      </c>
      <c r="G84" s="123" t="s">
        <v>80</v>
      </c>
      <c r="H84" s="91" t="s">
        <v>200</v>
      </c>
      <c r="I84" s="90">
        <v>45962</v>
      </c>
      <c r="J84" s="91" t="s">
        <v>80</v>
      </c>
      <c r="K84" s="89" t="s">
        <v>201</v>
      </c>
      <c r="L84" s="90">
        <v>45963</v>
      </c>
      <c r="M84" s="106"/>
    </row>
    <row r="85" s="1" customFormat="1" spans="1:20">
      <c r="A85" s="121"/>
      <c r="B85" s="88" t="s">
        <v>202</v>
      </c>
      <c r="C85" s="89" t="s">
        <v>91</v>
      </c>
      <c r="D85" s="122">
        <v>14</v>
      </c>
      <c r="E85" s="89" t="s">
        <v>30</v>
      </c>
      <c r="F85" s="90">
        <v>45901</v>
      </c>
      <c r="G85" s="123" t="s">
        <v>80</v>
      </c>
      <c r="H85" s="91" t="s">
        <v>203</v>
      </c>
      <c r="I85" s="90">
        <v>45964</v>
      </c>
      <c r="J85" s="91" t="s">
        <v>80</v>
      </c>
      <c r="K85" s="89" t="s">
        <v>204</v>
      </c>
      <c r="L85" s="90">
        <v>45965</v>
      </c>
      <c r="M85" s="106"/>
    </row>
    <row r="86" s="1" customFormat="1" spans="1:20">
      <c r="A86" s="121"/>
      <c r="B86" s="88" t="s">
        <v>199</v>
      </c>
      <c r="C86" s="89" t="s">
        <v>91</v>
      </c>
      <c r="D86" s="122">
        <v>18</v>
      </c>
      <c r="E86" s="89" t="s">
        <v>30</v>
      </c>
      <c r="F86" s="90">
        <v>45987</v>
      </c>
      <c r="G86" s="123" t="s">
        <v>80</v>
      </c>
      <c r="H86" s="91" t="s">
        <v>205</v>
      </c>
      <c r="I86" s="90">
        <v>45989</v>
      </c>
      <c r="J86" s="91" t="s">
        <v>80</v>
      </c>
      <c r="K86" s="89" t="s">
        <v>206</v>
      </c>
      <c r="L86" s="90">
        <v>45990</v>
      </c>
      <c r="M86" s="106"/>
    </row>
    <row r="87" s="1" customFormat="1" spans="1:20">
      <c r="A87" s="121"/>
      <c r="B87" s="88"/>
      <c r="C87" s="89"/>
      <c r="D87" s="122"/>
      <c r="E87" s="91"/>
      <c r="F87" s="90"/>
      <c r="G87" s="89"/>
      <c r="H87" s="89"/>
      <c r="I87" s="90"/>
      <c r="J87" s="89"/>
      <c r="K87" s="89"/>
      <c r="L87" s="90"/>
      <c r="M87" s="106"/>
    </row>
    <row r="88" s="1" customFormat="1" spans="1:20">
      <c r="A88" s="117"/>
      <c r="B88" s="118" t="s">
        <v>207</v>
      </c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20"/>
    </row>
    <row r="89" s="1" customFormat="1" spans="1:20">
      <c r="A89" s="121"/>
      <c r="B89" s="124" t="s">
        <v>208</v>
      </c>
      <c r="C89" s="99" t="s">
        <v>209</v>
      </c>
      <c r="D89" s="99">
        <v>147</v>
      </c>
      <c r="E89" s="98" t="s">
        <v>30</v>
      </c>
      <c r="F89" s="91" t="s">
        <v>210</v>
      </c>
      <c r="G89" s="91" t="s">
        <v>33</v>
      </c>
      <c r="H89" s="91" t="s">
        <v>211</v>
      </c>
      <c r="I89" s="91" t="s">
        <v>212</v>
      </c>
      <c r="J89" s="99" t="s">
        <v>213</v>
      </c>
      <c r="K89" s="91" t="s">
        <v>214</v>
      </c>
      <c r="L89" s="91" t="s">
        <v>215</v>
      </c>
      <c r="M89" s="106"/>
    </row>
    <row r="90" s="1" customFormat="1" spans="1:20">
      <c r="A90" s="121" t="s">
        <v>216</v>
      </c>
      <c r="B90" s="125" t="s">
        <v>217</v>
      </c>
      <c r="C90" s="99" t="s">
        <v>218</v>
      </c>
      <c r="D90" s="100">
        <v>592</v>
      </c>
      <c r="E90" s="98" t="s">
        <v>30</v>
      </c>
      <c r="F90" s="91" t="s">
        <v>219</v>
      </c>
      <c r="G90" s="99" t="s">
        <v>74</v>
      </c>
      <c r="H90" s="91" t="s">
        <v>220</v>
      </c>
      <c r="I90" s="91" t="s">
        <v>219</v>
      </c>
      <c r="J90" s="91" t="s">
        <v>37</v>
      </c>
      <c r="K90" s="89" t="s">
        <v>221</v>
      </c>
      <c r="L90" s="91" t="s">
        <v>222</v>
      </c>
      <c r="M90" s="106"/>
    </row>
    <row r="91" s="1" customFormat="1" spans="1:20">
      <c r="A91" s="121" t="s">
        <v>223</v>
      </c>
      <c r="B91" s="125" t="s">
        <v>224</v>
      </c>
      <c r="C91" s="91" t="s">
        <v>225</v>
      </c>
      <c r="D91" s="91">
        <v>784</v>
      </c>
      <c r="E91" s="98" t="s">
        <v>30</v>
      </c>
      <c r="F91" s="91" t="s">
        <v>219</v>
      </c>
      <c r="G91" s="91" t="s">
        <v>65</v>
      </c>
      <c r="H91" s="91" t="s">
        <v>226</v>
      </c>
      <c r="I91" s="91" t="s">
        <v>219</v>
      </c>
      <c r="J91" s="91" t="s">
        <v>37</v>
      </c>
      <c r="K91" s="89" t="s">
        <v>227</v>
      </c>
      <c r="L91" s="91" t="s">
        <v>222</v>
      </c>
      <c r="M91" s="106"/>
    </row>
    <row r="92" s="1" customFormat="1" spans="1:20">
      <c r="A92" s="121"/>
      <c r="B92" s="97" t="s">
        <v>35</v>
      </c>
      <c r="C92" s="91" t="s">
        <v>228</v>
      </c>
      <c r="D92" s="91">
        <v>2097</v>
      </c>
      <c r="E92" s="98" t="s">
        <v>30</v>
      </c>
      <c r="F92" s="91" t="s">
        <v>222</v>
      </c>
      <c r="G92" s="91" t="s">
        <v>229</v>
      </c>
      <c r="H92" s="91" t="s">
        <v>230</v>
      </c>
      <c r="I92" s="91" t="s">
        <v>222</v>
      </c>
      <c r="J92" s="91" t="s">
        <v>231</v>
      </c>
      <c r="K92" s="91" t="s">
        <v>232</v>
      </c>
      <c r="L92" s="91" t="s">
        <v>222</v>
      </c>
      <c r="M92" s="126"/>
    </row>
    <row r="93" s="1" customFormat="1" spans="1:20">
      <c r="A93" s="121"/>
      <c r="B93" s="124" t="s">
        <v>233</v>
      </c>
      <c r="C93" s="182" t="s">
        <v>234</v>
      </c>
      <c r="D93" s="91">
        <v>57</v>
      </c>
      <c r="E93" s="91" t="s">
        <v>30</v>
      </c>
      <c r="F93" s="91" t="s">
        <v>235</v>
      </c>
      <c r="G93" s="99" t="s">
        <v>37</v>
      </c>
      <c r="H93" s="91" t="s">
        <v>236</v>
      </c>
      <c r="I93" s="91" t="s">
        <v>222</v>
      </c>
      <c r="J93" s="91" t="s">
        <v>37</v>
      </c>
      <c r="K93" s="91" t="s">
        <v>237</v>
      </c>
      <c r="L93" s="91" t="s">
        <v>215</v>
      </c>
      <c r="M93" s="92"/>
    </row>
    <row r="94" s="1" customFormat="1" spans="1:20">
      <c r="A94" s="121"/>
      <c r="B94" s="97" t="s">
        <v>50</v>
      </c>
      <c r="C94" s="91" t="s">
        <v>67</v>
      </c>
      <c r="D94" s="91">
        <v>842</v>
      </c>
      <c r="E94" s="98" t="s">
        <v>30</v>
      </c>
      <c r="F94" s="91" t="s">
        <v>222</v>
      </c>
      <c r="G94" s="99" t="s">
        <v>231</v>
      </c>
      <c r="H94" s="91" t="s">
        <v>238</v>
      </c>
      <c r="I94" s="91" t="s">
        <v>215</v>
      </c>
      <c r="J94" s="91" t="s">
        <v>229</v>
      </c>
      <c r="K94" s="91" t="s">
        <v>239</v>
      </c>
      <c r="L94" s="91" t="s">
        <v>215</v>
      </c>
      <c r="M94" s="127"/>
    </row>
    <row r="95" s="1" customFormat="1" spans="1:20">
      <c r="A95" s="121"/>
      <c r="B95" s="97" t="s">
        <v>50</v>
      </c>
      <c r="C95" s="91" t="s">
        <v>67</v>
      </c>
      <c r="D95" s="91">
        <v>842</v>
      </c>
      <c r="E95" s="98" t="s">
        <v>30</v>
      </c>
      <c r="F95" s="91" t="s">
        <v>215</v>
      </c>
      <c r="G95" s="99" t="s">
        <v>229</v>
      </c>
      <c r="H95" s="91" t="s">
        <v>240</v>
      </c>
      <c r="I95" s="91" t="s">
        <v>215</v>
      </c>
      <c r="J95" s="91" t="s">
        <v>231</v>
      </c>
      <c r="K95" s="91" t="s">
        <v>241</v>
      </c>
      <c r="L95" s="91" t="s">
        <v>242</v>
      </c>
      <c r="M95" s="92"/>
    </row>
    <row r="96" s="1" customFormat="1" spans="1:20">
      <c r="A96" s="121"/>
      <c r="B96" s="97" t="s">
        <v>56</v>
      </c>
      <c r="C96" s="99" t="s">
        <v>57</v>
      </c>
      <c r="D96" s="100">
        <v>213</v>
      </c>
      <c r="E96" s="91" t="s">
        <v>30</v>
      </c>
      <c r="F96" s="91" t="s">
        <v>243</v>
      </c>
      <c r="G96" s="91" t="s">
        <v>231</v>
      </c>
      <c r="H96" s="91" t="s">
        <v>244</v>
      </c>
      <c r="I96" s="91" t="s">
        <v>242</v>
      </c>
      <c r="J96" s="91" t="s">
        <v>43</v>
      </c>
      <c r="K96" s="91" t="s">
        <v>245</v>
      </c>
      <c r="L96" s="91" t="s">
        <v>246</v>
      </c>
      <c r="M96" s="92"/>
    </row>
    <row r="97" s="1" customFormat="1" spans="1:13">
      <c r="A97" s="121"/>
      <c r="B97" s="125" t="s">
        <v>217</v>
      </c>
      <c r="C97" s="99" t="s">
        <v>218</v>
      </c>
      <c r="D97" s="100">
        <v>592</v>
      </c>
      <c r="E97" s="98" t="s">
        <v>30</v>
      </c>
      <c r="F97" s="91" t="s">
        <v>242</v>
      </c>
      <c r="G97" s="99" t="s">
        <v>37</v>
      </c>
      <c r="H97" s="91" t="s">
        <v>247</v>
      </c>
      <c r="I97" s="91" t="s">
        <v>246</v>
      </c>
      <c r="J97" s="91" t="s">
        <v>74</v>
      </c>
      <c r="K97" s="91" t="s">
        <v>248</v>
      </c>
      <c r="L97" s="91" t="s">
        <v>249</v>
      </c>
      <c r="M97" s="92"/>
    </row>
    <row r="98" s="1" customFormat="1" spans="1:13">
      <c r="A98" s="121"/>
      <c r="B98" s="125" t="s">
        <v>224</v>
      </c>
      <c r="C98" s="91" t="s">
        <v>225</v>
      </c>
      <c r="D98" s="91">
        <v>784</v>
      </c>
      <c r="E98" s="98" t="s">
        <v>30</v>
      </c>
      <c r="F98" s="91" t="s">
        <v>246</v>
      </c>
      <c r="G98" s="99" t="s">
        <v>37</v>
      </c>
      <c r="H98" s="91" t="s">
        <v>250</v>
      </c>
      <c r="I98" s="91" t="s">
        <v>246</v>
      </c>
      <c r="J98" s="91" t="s">
        <v>65</v>
      </c>
      <c r="K98" s="91" t="s">
        <v>251</v>
      </c>
      <c r="L98" s="91" t="s">
        <v>249</v>
      </c>
      <c r="M98" s="92"/>
    </row>
    <row r="99" s="1" customFormat="1" spans="1:13">
      <c r="A99" s="121"/>
      <c r="B99" s="97" t="s">
        <v>50</v>
      </c>
      <c r="C99" s="91" t="s">
        <v>67</v>
      </c>
      <c r="D99" s="91">
        <v>842</v>
      </c>
      <c r="E99" s="98" t="s">
        <v>30</v>
      </c>
      <c r="F99" s="91" t="s">
        <v>249</v>
      </c>
      <c r="G99" s="99" t="s">
        <v>231</v>
      </c>
      <c r="H99" s="91" t="s">
        <v>252</v>
      </c>
      <c r="I99" s="91" t="s">
        <v>253</v>
      </c>
      <c r="J99" s="91" t="s">
        <v>229</v>
      </c>
      <c r="K99" s="91" t="s">
        <v>254</v>
      </c>
      <c r="L99" s="91" t="s">
        <v>253</v>
      </c>
      <c r="M99" s="92"/>
    </row>
    <row r="100" s="1" customFormat="1" spans="1:13">
      <c r="A100" s="121"/>
      <c r="B100" s="97" t="s">
        <v>50</v>
      </c>
      <c r="C100" s="91" t="s">
        <v>67</v>
      </c>
      <c r="D100" s="91">
        <v>842</v>
      </c>
      <c r="E100" s="98" t="s">
        <v>30</v>
      </c>
      <c r="F100" s="91" t="s">
        <v>253</v>
      </c>
      <c r="G100" s="99" t="s">
        <v>229</v>
      </c>
      <c r="H100" s="91" t="s">
        <v>255</v>
      </c>
      <c r="I100" s="91" t="s">
        <v>253</v>
      </c>
      <c r="J100" s="91" t="s">
        <v>231</v>
      </c>
      <c r="K100" s="91" t="s">
        <v>256</v>
      </c>
      <c r="L100" s="91" t="s">
        <v>253</v>
      </c>
      <c r="M100" s="92"/>
    </row>
    <row r="101" s="1" customFormat="1" spans="1:13">
      <c r="A101" s="121"/>
      <c r="B101" s="97" t="s">
        <v>50</v>
      </c>
      <c r="C101" s="91" t="s">
        <v>67</v>
      </c>
      <c r="D101" s="91">
        <v>842</v>
      </c>
      <c r="E101" s="98" t="s">
        <v>30</v>
      </c>
      <c r="F101" s="91" t="s">
        <v>257</v>
      </c>
      <c r="G101" s="99" t="s">
        <v>231</v>
      </c>
      <c r="H101" s="91" t="s">
        <v>258</v>
      </c>
      <c r="I101" s="91" t="s">
        <v>257</v>
      </c>
      <c r="J101" s="91" t="s">
        <v>229</v>
      </c>
      <c r="K101" s="91" t="s">
        <v>259</v>
      </c>
      <c r="L101" s="91" t="s">
        <v>257</v>
      </c>
      <c r="M101" s="92"/>
    </row>
    <row r="102" s="1" customFormat="1" spans="1:13">
      <c r="A102" s="121"/>
      <c r="B102" s="125" t="s">
        <v>217</v>
      </c>
      <c r="C102" s="99" t="s">
        <v>218</v>
      </c>
      <c r="D102" s="100">
        <v>592</v>
      </c>
      <c r="E102" s="98" t="s">
        <v>30</v>
      </c>
      <c r="F102" s="91" t="s">
        <v>257</v>
      </c>
      <c r="G102" s="99" t="s">
        <v>74</v>
      </c>
      <c r="H102" s="91" t="s">
        <v>260</v>
      </c>
      <c r="I102" s="91" t="s">
        <v>257</v>
      </c>
      <c r="J102" s="91" t="s">
        <v>37</v>
      </c>
      <c r="K102" s="91" t="s">
        <v>261</v>
      </c>
      <c r="L102" s="91" t="s">
        <v>262</v>
      </c>
      <c r="M102" s="92"/>
    </row>
    <row r="103" s="1" customFormat="1" spans="1:13">
      <c r="A103" s="121"/>
      <c r="B103" s="97" t="s">
        <v>35</v>
      </c>
      <c r="C103" s="91" t="s">
        <v>228</v>
      </c>
      <c r="D103" s="91">
        <v>2097</v>
      </c>
      <c r="E103" s="98" t="s">
        <v>30</v>
      </c>
      <c r="F103" s="91" t="s">
        <v>257</v>
      </c>
      <c r="G103" s="91" t="s">
        <v>231</v>
      </c>
      <c r="H103" s="91" t="s">
        <v>263</v>
      </c>
      <c r="I103" s="91" t="s">
        <v>257</v>
      </c>
      <c r="J103" s="91" t="s">
        <v>229</v>
      </c>
      <c r="K103" s="91" t="s">
        <v>264</v>
      </c>
      <c r="L103" s="91" t="s">
        <v>257</v>
      </c>
      <c r="M103" s="92"/>
    </row>
    <row r="104" s="1" customFormat="1" spans="1:13">
      <c r="A104" s="121"/>
      <c r="B104" s="125" t="s">
        <v>224</v>
      </c>
      <c r="C104" s="91" t="s">
        <v>225</v>
      </c>
      <c r="D104" s="91">
        <v>784</v>
      </c>
      <c r="E104" s="98" t="s">
        <v>30</v>
      </c>
      <c r="F104" s="91" t="s">
        <v>257</v>
      </c>
      <c r="G104" s="91" t="s">
        <v>65</v>
      </c>
      <c r="H104" s="91" t="s">
        <v>265</v>
      </c>
      <c r="I104" s="91" t="s">
        <v>257</v>
      </c>
      <c r="J104" s="91" t="s">
        <v>37</v>
      </c>
      <c r="K104" s="91" t="s">
        <v>266</v>
      </c>
      <c r="L104" s="91" t="s">
        <v>262</v>
      </c>
      <c r="M104" s="127"/>
    </row>
    <row r="105" s="1" customFormat="1" spans="1:13">
      <c r="A105" s="121"/>
      <c r="B105" s="97" t="s">
        <v>267</v>
      </c>
      <c r="C105" s="182" t="s">
        <v>91</v>
      </c>
      <c r="D105" s="91">
        <v>34</v>
      </c>
      <c r="E105" s="91" t="s">
        <v>30</v>
      </c>
      <c r="F105" s="91" t="s">
        <v>219</v>
      </c>
      <c r="G105" s="99" t="s">
        <v>37</v>
      </c>
      <c r="H105" s="91" t="s">
        <v>268</v>
      </c>
      <c r="I105" s="91" t="s">
        <v>257</v>
      </c>
      <c r="J105" s="91" t="s">
        <v>37</v>
      </c>
      <c r="K105" s="91" t="s">
        <v>269</v>
      </c>
      <c r="L105" s="91" t="s">
        <v>262</v>
      </c>
      <c r="M105" s="127"/>
    </row>
    <row r="106" s="1" customFormat="1" spans="1:13">
      <c r="A106" s="121"/>
      <c r="B106" s="97" t="s">
        <v>50</v>
      </c>
      <c r="C106" s="91" t="s">
        <v>67</v>
      </c>
      <c r="D106" s="91">
        <v>842</v>
      </c>
      <c r="E106" s="98" t="s">
        <v>30</v>
      </c>
      <c r="F106" s="91" t="s">
        <v>257</v>
      </c>
      <c r="G106" s="99" t="s">
        <v>229</v>
      </c>
      <c r="H106" s="91" t="s">
        <v>270</v>
      </c>
      <c r="I106" s="91" t="s">
        <v>257</v>
      </c>
      <c r="J106" s="91" t="s">
        <v>231</v>
      </c>
      <c r="K106" s="91" t="s">
        <v>271</v>
      </c>
      <c r="L106" s="91" t="s">
        <v>257</v>
      </c>
      <c r="M106" s="127"/>
    </row>
    <row r="107" s="1" customFormat="1" spans="1:13">
      <c r="A107" s="121"/>
      <c r="B107" s="97" t="s">
        <v>35</v>
      </c>
      <c r="C107" s="91" t="s">
        <v>228</v>
      </c>
      <c r="D107" s="91">
        <v>2097</v>
      </c>
      <c r="E107" s="98" t="s">
        <v>30</v>
      </c>
      <c r="F107" s="91" t="s">
        <v>272</v>
      </c>
      <c r="G107" s="91" t="s">
        <v>229</v>
      </c>
      <c r="H107" s="91" t="s">
        <v>273</v>
      </c>
      <c r="I107" s="91" t="s">
        <v>272</v>
      </c>
      <c r="J107" s="91" t="s">
        <v>231</v>
      </c>
      <c r="K107" s="91" t="s">
        <v>274</v>
      </c>
      <c r="L107" s="91" t="s">
        <v>272</v>
      </c>
      <c r="M107" s="127"/>
    </row>
    <row r="108" s="1" customFormat="1" spans="1:13">
      <c r="A108" s="121"/>
      <c r="B108" s="128" t="s">
        <v>275</v>
      </c>
      <c r="C108" s="99" t="s">
        <v>276</v>
      </c>
      <c r="D108" s="99">
        <v>123</v>
      </c>
      <c r="E108" s="98" t="s">
        <v>30</v>
      </c>
      <c r="F108" s="91" t="s">
        <v>262</v>
      </c>
      <c r="G108" s="91" t="s">
        <v>33</v>
      </c>
      <c r="H108" s="91" t="s">
        <v>277</v>
      </c>
      <c r="I108" s="91" t="s">
        <v>278</v>
      </c>
      <c r="J108" s="91" t="s">
        <v>31</v>
      </c>
      <c r="K108" s="91" t="s">
        <v>279</v>
      </c>
      <c r="L108" s="91" t="s">
        <v>280</v>
      </c>
      <c r="M108" s="127"/>
    </row>
    <row r="109" s="1" customFormat="1" spans="1:13">
      <c r="A109" s="121"/>
      <c r="B109" s="125" t="s">
        <v>217</v>
      </c>
      <c r="C109" s="99" t="s">
        <v>218</v>
      </c>
      <c r="D109" s="100">
        <v>592</v>
      </c>
      <c r="E109" s="98" t="s">
        <v>30</v>
      </c>
      <c r="F109" s="91" t="s">
        <v>281</v>
      </c>
      <c r="G109" s="99" t="s">
        <v>37</v>
      </c>
      <c r="H109" s="91" t="s">
        <v>282</v>
      </c>
      <c r="I109" s="91" t="s">
        <v>281</v>
      </c>
      <c r="J109" s="91" t="s">
        <v>74</v>
      </c>
      <c r="K109" s="91" t="s">
        <v>283</v>
      </c>
      <c r="L109" s="91" t="s">
        <v>280</v>
      </c>
      <c r="M109" s="127"/>
    </row>
    <row r="110" s="1" customFormat="1" spans="1:13">
      <c r="A110" s="121"/>
      <c r="B110" s="125" t="s">
        <v>224</v>
      </c>
      <c r="C110" s="91" t="s">
        <v>225</v>
      </c>
      <c r="D110" s="91">
        <v>784</v>
      </c>
      <c r="E110" s="98" t="s">
        <v>30</v>
      </c>
      <c r="F110" s="91" t="s">
        <v>280</v>
      </c>
      <c r="G110" s="99" t="s">
        <v>37</v>
      </c>
      <c r="H110" s="91" t="s">
        <v>284</v>
      </c>
      <c r="I110" s="91" t="s">
        <v>280</v>
      </c>
      <c r="J110" s="91" t="s">
        <v>65</v>
      </c>
      <c r="K110" s="91" t="s">
        <v>285</v>
      </c>
      <c r="L110" s="91" t="s">
        <v>286</v>
      </c>
      <c r="M110" s="127"/>
    </row>
    <row r="111" s="1" customFormat="1" spans="1:13">
      <c r="A111" s="121"/>
      <c r="B111" s="97" t="s">
        <v>50</v>
      </c>
      <c r="C111" s="91" t="s">
        <v>67</v>
      </c>
      <c r="D111" s="91">
        <v>842</v>
      </c>
      <c r="E111" s="98" t="s">
        <v>30</v>
      </c>
      <c r="F111" s="91" t="s">
        <v>286</v>
      </c>
      <c r="G111" s="91" t="s">
        <v>231</v>
      </c>
      <c r="H111" s="91" t="s">
        <v>287</v>
      </c>
      <c r="I111" s="91" t="s">
        <v>286</v>
      </c>
      <c r="J111" s="91" t="s">
        <v>229</v>
      </c>
      <c r="K111" s="91" t="s">
        <v>288</v>
      </c>
      <c r="L111" s="91" t="s">
        <v>286</v>
      </c>
      <c r="M111" s="127"/>
    </row>
    <row r="112" s="1" customFormat="1" spans="1:13">
      <c r="A112" s="121"/>
      <c r="B112" s="125" t="s">
        <v>159</v>
      </c>
      <c r="C112" s="91" t="s">
        <v>289</v>
      </c>
      <c r="D112" s="91">
        <v>165</v>
      </c>
      <c r="E112" s="98" t="s">
        <v>30</v>
      </c>
      <c r="F112" s="91" t="s">
        <v>281</v>
      </c>
      <c r="G112" s="91" t="s">
        <v>52</v>
      </c>
      <c r="H112" s="91" t="s">
        <v>290</v>
      </c>
      <c r="I112" s="91" t="s">
        <v>286</v>
      </c>
      <c r="J112" s="91" t="s">
        <v>229</v>
      </c>
      <c r="K112" s="91" t="s">
        <v>291</v>
      </c>
      <c r="L112" s="91" t="s">
        <v>286</v>
      </c>
      <c r="M112" s="127"/>
    </row>
    <row r="113" s="1" customFormat="1" spans="1:13">
      <c r="A113" s="121"/>
      <c r="B113" s="97" t="s">
        <v>50</v>
      </c>
      <c r="C113" s="91" t="s">
        <v>67</v>
      </c>
      <c r="D113" s="91">
        <v>842</v>
      </c>
      <c r="E113" s="98" t="s">
        <v>30</v>
      </c>
      <c r="F113" s="91" t="s">
        <v>286</v>
      </c>
      <c r="G113" s="91" t="s">
        <v>229</v>
      </c>
      <c r="H113" s="91" t="s">
        <v>292</v>
      </c>
      <c r="I113" s="91" t="s">
        <v>286</v>
      </c>
      <c r="J113" s="91" t="s">
        <v>231</v>
      </c>
      <c r="K113" s="91" t="s">
        <v>293</v>
      </c>
      <c r="L113" s="91" t="s">
        <v>294</v>
      </c>
      <c r="M113" s="127"/>
    </row>
    <row r="114" s="1" customFormat="1" spans="1:13">
      <c r="A114" s="121"/>
      <c r="B114" s="125" t="s">
        <v>217</v>
      </c>
      <c r="C114" s="99" t="s">
        <v>218</v>
      </c>
      <c r="D114" s="100">
        <v>592</v>
      </c>
      <c r="E114" s="98" t="s">
        <v>30</v>
      </c>
      <c r="F114" s="91" t="s">
        <v>295</v>
      </c>
      <c r="G114" s="99" t="s">
        <v>74</v>
      </c>
      <c r="H114" s="91" t="s">
        <v>296</v>
      </c>
      <c r="I114" s="91" t="s">
        <v>295</v>
      </c>
      <c r="J114" s="99" t="s">
        <v>37</v>
      </c>
      <c r="K114" s="91" t="s">
        <v>297</v>
      </c>
      <c r="L114" s="91" t="s">
        <v>298</v>
      </c>
      <c r="M114" s="127"/>
    </row>
    <row r="115" s="1" customFormat="1" spans="1:13">
      <c r="A115" s="121"/>
      <c r="B115" s="125" t="s">
        <v>224</v>
      </c>
      <c r="C115" s="91" t="s">
        <v>225</v>
      </c>
      <c r="D115" s="91">
        <v>784</v>
      </c>
      <c r="E115" s="98" t="s">
        <v>30</v>
      </c>
      <c r="F115" s="91" t="s">
        <v>295</v>
      </c>
      <c r="G115" s="91" t="s">
        <v>65</v>
      </c>
      <c r="H115" s="91" t="s">
        <v>299</v>
      </c>
      <c r="I115" s="91" t="s">
        <v>295</v>
      </c>
      <c r="J115" s="99" t="s">
        <v>37</v>
      </c>
      <c r="K115" s="91" t="s">
        <v>300</v>
      </c>
      <c r="L115" s="91" t="s">
        <v>298</v>
      </c>
      <c r="M115" s="127"/>
    </row>
    <row r="116" s="1" customFormat="1" spans="1:13">
      <c r="A116" s="121"/>
      <c r="B116" s="97" t="s">
        <v>50</v>
      </c>
      <c r="C116" s="91" t="s">
        <v>67</v>
      </c>
      <c r="D116" s="91">
        <v>842</v>
      </c>
      <c r="E116" s="98" t="s">
        <v>30</v>
      </c>
      <c r="F116" s="91" t="s">
        <v>298</v>
      </c>
      <c r="G116" s="91" t="s">
        <v>231</v>
      </c>
      <c r="H116" s="91" t="s">
        <v>301</v>
      </c>
      <c r="I116" s="91" t="s">
        <v>298</v>
      </c>
      <c r="J116" s="91" t="s">
        <v>229</v>
      </c>
      <c r="K116" s="91" t="s">
        <v>302</v>
      </c>
      <c r="L116" s="91" t="s">
        <v>298</v>
      </c>
      <c r="M116" s="127"/>
    </row>
    <row r="117" s="1" customFormat="1" spans="1:13">
      <c r="A117" s="121"/>
      <c r="B117" s="97" t="s">
        <v>35</v>
      </c>
      <c r="C117" s="91" t="s">
        <v>228</v>
      </c>
      <c r="D117" s="91">
        <v>2097</v>
      </c>
      <c r="E117" s="98" t="s">
        <v>30</v>
      </c>
      <c r="F117" s="91" t="s">
        <v>298</v>
      </c>
      <c r="G117" s="91" t="s">
        <v>231</v>
      </c>
      <c r="H117" s="91" t="s">
        <v>303</v>
      </c>
      <c r="I117" s="91" t="s">
        <v>298</v>
      </c>
      <c r="J117" s="91" t="s">
        <v>229</v>
      </c>
      <c r="K117" s="91" t="s">
        <v>304</v>
      </c>
      <c r="L117" s="91" t="s">
        <v>298</v>
      </c>
      <c r="M117" s="127"/>
    </row>
    <row r="118" s="1" customFormat="1" spans="1:13">
      <c r="A118" s="121"/>
      <c r="B118" s="97" t="s">
        <v>50</v>
      </c>
      <c r="C118" s="91" t="s">
        <v>67</v>
      </c>
      <c r="D118" s="91">
        <v>842</v>
      </c>
      <c r="E118" s="98" t="s">
        <v>30</v>
      </c>
      <c r="F118" s="91" t="s">
        <v>298</v>
      </c>
      <c r="G118" s="91" t="s">
        <v>229</v>
      </c>
      <c r="H118" s="91" t="s">
        <v>305</v>
      </c>
      <c r="I118" s="91" t="s">
        <v>298</v>
      </c>
      <c r="J118" s="91" t="s">
        <v>231</v>
      </c>
      <c r="K118" s="91" t="s">
        <v>306</v>
      </c>
      <c r="L118" s="91" t="s">
        <v>307</v>
      </c>
      <c r="M118" s="127"/>
    </row>
    <row r="119" s="1" customFormat="1" spans="1:13">
      <c r="A119" s="121"/>
      <c r="B119" s="124" t="s">
        <v>233</v>
      </c>
      <c r="C119" s="182" t="s">
        <v>234</v>
      </c>
      <c r="D119" s="91">
        <v>57</v>
      </c>
      <c r="E119" s="91" t="s">
        <v>30</v>
      </c>
      <c r="F119" s="91" t="s">
        <v>262</v>
      </c>
      <c r="G119" s="91" t="s">
        <v>37</v>
      </c>
      <c r="H119" s="91" t="s">
        <v>308</v>
      </c>
      <c r="I119" s="91" t="s">
        <v>307</v>
      </c>
      <c r="J119" s="91" t="s">
        <v>37</v>
      </c>
      <c r="K119" s="91" t="s">
        <v>309</v>
      </c>
      <c r="L119" s="91" t="s">
        <v>310</v>
      </c>
      <c r="M119" s="92"/>
    </row>
    <row r="120" s="1" customFormat="1" spans="1:13">
      <c r="A120" s="121"/>
      <c r="B120" s="97" t="s">
        <v>267</v>
      </c>
      <c r="C120" s="182" t="s">
        <v>91</v>
      </c>
      <c r="D120" s="91">
        <v>34</v>
      </c>
      <c r="E120" s="91" t="s">
        <v>30</v>
      </c>
      <c r="F120" s="91" t="s">
        <v>280</v>
      </c>
      <c r="G120" s="91" t="s">
        <v>37</v>
      </c>
      <c r="H120" s="91" t="s">
        <v>311</v>
      </c>
      <c r="I120" s="91" t="s">
        <v>307</v>
      </c>
      <c r="J120" s="91" t="s">
        <v>37</v>
      </c>
      <c r="K120" s="91" t="s">
        <v>312</v>
      </c>
      <c r="L120" s="91" t="s">
        <v>310</v>
      </c>
      <c r="M120" s="106"/>
    </row>
    <row r="121" s="1" customFormat="1" spans="1:13">
      <c r="A121" s="121"/>
      <c r="B121" s="128" t="s">
        <v>313</v>
      </c>
      <c r="C121" s="183" t="s">
        <v>91</v>
      </c>
      <c r="D121" s="99">
        <v>29</v>
      </c>
      <c r="E121" s="129" t="s">
        <v>30</v>
      </c>
      <c r="F121" s="91" t="s">
        <v>253</v>
      </c>
      <c r="G121" s="91" t="s">
        <v>37</v>
      </c>
      <c r="H121" s="91" t="s">
        <v>314</v>
      </c>
      <c r="I121" s="91" t="s">
        <v>307</v>
      </c>
      <c r="J121" s="91" t="s">
        <v>37</v>
      </c>
      <c r="K121" s="91" t="s">
        <v>315</v>
      </c>
      <c r="L121" s="91" t="s">
        <v>310</v>
      </c>
      <c r="M121" s="106"/>
    </row>
    <row r="122" s="1" customFormat="1" spans="1:13">
      <c r="A122" s="121"/>
      <c r="B122" s="125" t="s">
        <v>217</v>
      </c>
      <c r="C122" s="99" t="s">
        <v>218</v>
      </c>
      <c r="D122" s="100">
        <v>592</v>
      </c>
      <c r="E122" s="98" t="s">
        <v>30</v>
      </c>
      <c r="F122" s="91" t="s">
        <v>310</v>
      </c>
      <c r="G122" s="91" t="s">
        <v>37</v>
      </c>
      <c r="H122" s="91" t="s">
        <v>316</v>
      </c>
      <c r="I122" s="91" t="s">
        <v>317</v>
      </c>
      <c r="J122" s="91" t="s">
        <v>74</v>
      </c>
      <c r="K122" s="91" t="s">
        <v>318</v>
      </c>
      <c r="L122" s="91" t="s">
        <v>319</v>
      </c>
      <c r="M122" s="106"/>
    </row>
    <row r="123" s="1" customFormat="1" spans="1:13">
      <c r="A123" s="121"/>
      <c r="B123" s="97" t="s">
        <v>50</v>
      </c>
      <c r="C123" s="91" t="s">
        <v>67</v>
      </c>
      <c r="D123" s="91">
        <v>842</v>
      </c>
      <c r="E123" s="98" t="s">
        <v>30</v>
      </c>
      <c r="F123" s="91" t="s">
        <v>317</v>
      </c>
      <c r="G123" s="91" t="s">
        <v>231</v>
      </c>
      <c r="H123" s="91" t="s">
        <v>320</v>
      </c>
      <c r="I123" s="91" t="s">
        <v>317</v>
      </c>
      <c r="J123" s="91" t="s">
        <v>229</v>
      </c>
      <c r="K123" s="91" t="s">
        <v>321</v>
      </c>
      <c r="L123" s="91" t="s">
        <v>317</v>
      </c>
      <c r="M123" s="106"/>
    </row>
    <row r="124" s="1" customFormat="1" spans="1:13">
      <c r="A124" s="121"/>
      <c r="B124" s="125" t="s">
        <v>224</v>
      </c>
      <c r="C124" s="91" t="s">
        <v>225</v>
      </c>
      <c r="D124" s="91">
        <v>784</v>
      </c>
      <c r="E124" s="98" t="s">
        <v>30</v>
      </c>
      <c r="F124" s="91" t="s">
        <v>317</v>
      </c>
      <c r="G124" s="91" t="s">
        <v>37</v>
      </c>
      <c r="H124" s="91" t="s">
        <v>322</v>
      </c>
      <c r="I124" s="91" t="s">
        <v>317</v>
      </c>
      <c r="J124" s="91" t="s">
        <v>65</v>
      </c>
      <c r="K124" s="91" t="s">
        <v>323</v>
      </c>
      <c r="L124" s="91" t="s">
        <v>319</v>
      </c>
      <c r="M124" s="106"/>
    </row>
    <row r="125" s="1" customFormat="1" spans="1:13">
      <c r="A125" s="121"/>
      <c r="B125" s="97" t="s">
        <v>324</v>
      </c>
      <c r="C125" s="91" t="s">
        <v>325</v>
      </c>
      <c r="D125" s="130">
        <v>1480</v>
      </c>
      <c r="E125" s="98" t="s">
        <v>30</v>
      </c>
      <c r="F125" s="91" t="s">
        <v>310</v>
      </c>
      <c r="G125" s="91" t="s">
        <v>33</v>
      </c>
      <c r="H125" s="91" t="s">
        <v>326</v>
      </c>
      <c r="I125" s="91" t="s">
        <v>317</v>
      </c>
      <c r="J125" s="91" t="s">
        <v>327</v>
      </c>
      <c r="K125" s="91" t="s">
        <v>328</v>
      </c>
      <c r="L125" s="91" t="s">
        <v>329</v>
      </c>
      <c r="M125" s="106"/>
    </row>
    <row r="126" s="1" customFormat="1" spans="1:13">
      <c r="A126" s="121"/>
      <c r="B126" s="97" t="s">
        <v>35</v>
      </c>
      <c r="C126" s="91" t="s">
        <v>228</v>
      </c>
      <c r="D126" s="91">
        <v>2097</v>
      </c>
      <c r="E126" s="98" t="s">
        <v>30</v>
      </c>
      <c r="F126" s="91" t="s">
        <v>317</v>
      </c>
      <c r="G126" s="91" t="s">
        <v>229</v>
      </c>
      <c r="H126" s="91" t="s">
        <v>330</v>
      </c>
      <c r="I126" s="91" t="s">
        <v>317</v>
      </c>
      <c r="J126" s="91" t="s">
        <v>231</v>
      </c>
      <c r="K126" s="91" t="s">
        <v>331</v>
      </c>
      <c r="L126" s="91" t="s">
        <v>317</v>
      </c>
      <c r="M126" s="106"/>
    </row>
    <row r="127" s="1" customFormat="1" spans="1:13">
      <c r="A127" s="121"/>
      <c r="B127" s="97" t="s">
        <v>50</v>
      </c>
      <c r="C127" s="91" t="s">
        <v>67</v>
      </c>
      <c r="D127" s="91">
        <v>842</v>
      </c>
      <c r="E127" s="98" t="s">
        <v>30</v>
      </c>
      <c r="F127" s="91" t="s">
        <v>317</v>
      </c>
      <c r="G127" s="91" t="s">
        <v>229</v>
      </c>
      <c r="H127" s="91" t="s">
        <v>332</v>
      </c>
      <c r="I127" s="91" t="s">
        <v>317</v>
      </c>
      <c r="J127" s="91" t="s">
        <v>231</v>
      </c>
      <c r="K127" s="91" t="s">
        <v>333</v>
      </c>
      <c r="L127" s="91" t="s">
        <v>319</v>
      </c>
      <c r="M127" s="106"/>
    </row>
    <row r="128" s="1" customFormat="1" spans="1:13">
      <c r="A128" s="131"/>
      <c r="B128" s="125" t="s">
        <v>217</v>
      </c>
      <c r="C128" s="91" t="s">
        <v>218</v>
      </c>
      <c r="D128" s="130">
        <v>592</v>
      </c>
      <c r="E128" s="98" t="s">
        <v>30</v>
      </c>
      <c r="F128" s="91" t="s">
        <v>334</v>
      </c>
      <c r="G128" s="91" t="s">
        <v>74</v>
      </c>
      <c r="H128" s="91" t="s">
        <v>335</v>
      </c>
      <c r="I128" s="91" t="s">
        <v>334</v>
      </c>
      <c r="J128" s="91" t="s">
        <v>37</v>
      </c>
      <c r="K128" s="91" t="s">
        <v>336</v>
      </c>
      <c r="L128" s="91" t="s">
        <v>334</v>
      </c>
      <c r="M128" s="92"/>
    </row>
    <row r="129" s="1" customFormat="1" spans="1:13">
      <c r="A129" s="121"/>
      <c r="B129" s="132"/>
      <c r="C129" s="89"/>
      <c r="D129" s="89"/>
      <c r="E129" s="89"/>
      <c r="F129" s="89"/>
      <c r="G129" s="133"/>
      <c r="H129" s="89"/>
      <c r="I129" s="89"/>
      <c r="J129" s="89"/>
      <c r="K129" s="89"/>
      <c r="L129" s="89"/>
      <c r="M129" s="106"/>
    </row>
    <row r="130" s="1" customFormat="1" spans="1:13">
      <c r="A130" s="134"/>
      <c r="B130" s="84" t="s">
        <v>337</v>
      </c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135"/>
    </row>
    <row r="131" s="1" customFormat="1" spans="1:13">
      <c r="A131" s="121"/>
      <c r="B131" s="136" t="s">
        <v>50</v>
      </c>
      <c r="C131" s="91" t="s">
        <v>338</v>
      </c>
      <c r="D131" s="91">
        <v>842</v>
      </c>
      <c r="E131" s="91" t="s">
        <v>30</v>
      </c>
      <c r="F131" s="137">
        <v>45964</v>
      </c>
      <c r="G131" s="91" t="s">
        <v>58</v>
      </c>
      <c r="H131" s="91" t="s">
        <v>339</v>
      </c>
      <c r="I131" s="137">
        <v>45964</v>
      </c>
      <c r="J131" s="91" t="s">
        <v>231</v>
      </c>
      <c r="K131" s="98" t="s">
        <v>340</v>
      </c>
      <c r="L131" s="137">
        <v>45964</v>
      </c>
      <c r="M131" s="92"/>
    </row>
    <row r="132" s="1" customFormat="1" spans="1:13">
      <c r="A132" s="121"/>
      <c r="B132" s="136" t="s">
        <v>341</v>
      </c>
      <c r="C132" s="91" t="s">
        <v>342</v>
      </c>
      <c r="D132" s="91">
        <v>121</v>
      </c>
      <c r="E132" s="91" t="s">
        <v>30</v>
      </c>
      <c r="F132" s="137">
        <v>45919</v>
      </c>
      <c r="G132" s="91" t="s">
        <v>343</v>
      </c>
      <c r="H132" s="91" t="s">
        <v>344</v>
      </c>
      <c r="I132" s="138">
        <v>45964</v>
      </c>
      <c r="J132" s="91" t="s">
        <v>345</v>
      </c>
      <c r="K132" s="98" t="s">
        <v>346</v>
      </c>
      <c r="L132" s="138">
        <v>45964</v>
      </c>
      <c r="M132" s="92"/>
    </row>
    <row r="133" s="1" customFormat="1" spans="1:13">
      <c r="A133" s="121"/>
      <c r="B133" s="136" t="s">
        <v>347</v>
      </c>
      <c r="C133" s="91"/>
      <c r="D133" s="91">
        <v>527</v>
      </c>
      <c r="E133" s="91" t="s">
        <v>30</v>
      </c>
      <c r="F133" s="137">
        <v>45919</v>
      </c>
      <c r="G133" s="91" t="s">
        <v>343</v>
      </c>
      <c r="H133" s="91" t="s">
        <v>348</v>
      </c>
      <c r="I133" s="138">
        <v>45964</v>
      </c>
      <c r="J133" s="91" t="s">
        <v>345</v>
      </c>
      <c r="K133" s="98" t="s">
        <v>349</v>
      </c>
      <c r="L133" s="138">
        <v>45964</v>
      </c>
      <c r="M133" s="92"/>
    </row>
    <row r="134" s="1" customFormat="1" spans="1:13">
      <c r="A134" s="121"/>
      <c r="B134" s="136" t="s">
        <v>35</v>
      </c>
      <c r="C134" s="91" t="s">
        <v>350</v>
      </c>
      <c r="D134" s="91">
        <v>2097</v>
      </c>
      <c r="E134" s="91" t="s">
        <v>30</v>
      </c>
      <c r="F134" s="137">
        <v>45965</v>
      </c>
      <c r="G134" s="91" t="s">
        <v>58</v>
      </c>
      <c r="H134" s="98" t="s">
        <v>351</v>
      </c>
      <c r="I134" s="138">
        <v>45965</v>
      </c>
      <c r="J134" s="91" t="s">
        <v>37</v>
      </c>
      <c r="K134" s="98" t="s">
        <v>352</v>
      </c>
      <c r="L134" s="138">
        <v>45965</v>
      </c>
      <c r="M134" s="92"/>
    </row>
    <row r="135" s="1" customFormat="1" spans="1:13">
      <c r="A135" s="121" t="s">
        <v>353</v>
      </c>
      <c r="B135" s="136" t="s">
        <v>50</v>
      </c>
      <c r="C135" s="91" t="s">
        <v>338</v>
      </c>
      <c r="D135" s="91">
        <v>842</v>
      </c>
      <c r="E135" s="91" t="s">
        <v>30</v>
      </c>
      <c r="F135" s="137">
        <v>45966</v>
      </c>
      <c r="G135" s="91" t="s">
        <v>231</v>
      </c>
      <c r="H135" s="91" t="s">
        <v>354</v>
      </c>
      <c r="I135" s="137">
        <v>45966</v>
      </c>
      <c r="J135" s="91" t="s">
        <v>58</v>
      </c>
      <c r="K135" s="91" t="s">
        <v>355</v>
      </c>
      <c r="L135" s="137">
        <v>45966</v>
      </c>
      <c r="M135" s="92"/>
    </row>
    <row r="136" s="1" customFormat="1" spans="1:13">
      <c r="A136" s="121"/>
      <c r="B136" s="136" t="s">
        <v>50</v>
      </c>
      <c r="C136" s="91" t="s">
        <v>338</v>
      </c>
      <c r="D136" s="91">
        <v>842</v>
      </c>
      <c r="E136" s="91" t="s">
        <v>30</v>
      </c>
      <c r="F136" s="137">
        <v>45968</v>
      </c>
      <c r="G136" s="91" t="s">
        <v>58</v>
      </c>
      <c r="H136" s="91" t="s">
        <v>356</v>
      </c>
      <c r="I136" s="137">
        <v>45968</v>
      </c>
      <c r="J136" s="91" t="s">
        <v>231</v>
      </c>
      <c r="K136" s="98" t="s">
        <v>357</v>
      </c>
      <c r="L136" s="137">
        <v>45968</v>
      </c>
      <c r="M136" s="92"/>
    </row>
    <row r="137" s="1" customFormat="1" spans="1:13">
      <c r="A137" s="121"/>
      <c r="B137" s="136" t="s">
        <v>50</v>
      </c>
      <c r="C137" s="91" t="s">
        <v>338</v>
      </c>
      <c r="D137" s="91">
        <v>842</v>
      </c>
      <c r="E137" s="91" t="s">
        <v>30</v>
      </c>
      <c r="F137" s="137">
        <v>45970</v>
      </c>
      <c r="G137" s="91" t="s">
        <v>231</v>
      </c>
      <c r="H137" s="98" t="s">
        <v>358</v>
      </c>
      <c r="I137" s="137">
        <v>45970</v>
      </c>
      <c r="J137" s="139" t="s">
        <v>58</v>
      </c>
      <c r="K137" s="98" t="s">
        <v>359</v>
      </c>
      <c r="L137" s="137">
        <v>45970</v>
      </c>
      <c r="M137" s="92"/>
    </row>
    <row r="138" s="1" customFormat="1" spans="1:13">
      <c r="A138" s="121"/>
      <c r="B138" s="136" t="s">
        <v>35</v>
      </c>
      <c r="C138" s="91" t="s">
        <v>350</v>
      </c>
      <c r="D138" s="91">
        <v>2097</v>
      </c>
      <c r="E138" s="91" t="s">
        <v>30</v>
      </c>
      <c r="F138" s="137">
        <v>45971</v>
      </c>
      <c r="G138" s="91" t="s">
        <v>37</v>
      </c>
      <c r="H138" s="98" t="s">
        <v>360</v>
      </c>
      <c r="I138" s="138">
        <v>45971</v>
      </c>
      <c r="J138" s="91" t="s">
        <v>58</v>
      </c>
      <c r="K138" s="98" t="s">
        <v>361</v>
      </c>
      <c r="L138" s="138">
        <v>45971</v>
      </c>
      <c r="M138" s="92"/>
    </row>
    <row r="139" s="1" customFormat="1" ht="15.75" spans="1:13">
      <c r="A139" s="140"/>
      <c r="B139" s="141"/>
      <c r="C139" s="142"/>
      <c r="D139" s="142"/>
      <c r="E139" s="142"/>
      <c r="F139" s="143"/>
      <c r="G139" s="142"/>
      <c r="H139" s="144"/>
      <c r="I139" s="145"/>
      <c r="J139" s="142"/>
      <c r="K139" s="144"/>
      <c r="L139" s="145"/>
      <c r="M139" s="146"/>
    </row>
    <row r="140" s="1" customFormat="1" ht="16.5" spans="1:13">
      <c r="A140" s="114">
        <v>1</v>
      </c>
      <c r="B140" s="81">
        <v>2</v>
      </c>
      <c r="C140" s="81">
        <v>3</v>
      </c>
      <c r="D140" s="81">
        <v>4</v>
      </c>
      <c r="E140" s="81">
        <v>5</v>
      </c>
      <c r="F140" s="81">
        <v>6</v>
      </c>
      <c r="G140" s="81">
        <v>7</v>
      </c>
      <c r="H140" s="81">
        <v>8</v>
      </c>
      <c r="I140" s="81">
        <v>9</v>
      </c>
      <c r="J140" s="81">
        <v>10</v>
      </c>
      <c r="K140" s="81">
        <v>11</v>
      </c>
      <c r="L140" s="81">
        <v>12</v>
      </c>
      <c r="M140" s="82">
        <v>13</v>
      </c>
    </row>
    <row r="141" s="1" customFormat="1" ht="15.75" spans="1:13">
      <c r="A141" s="121"/>
      <c r="B141" s="136" t="s">
        <v>50</v>
      </c>
      <c r="C141" s="91" t="s">
        <v>338</v>
      </c>
      <c r="D141" s="91">
        <v>842</v>
      </c>
      <c r="E141" s="91" t="s">
        <v>30</v>
      </c>
      <c r="F141" s="137">
        <v>45971</v>
      </c>
      <c r="G141" s="91" t="s">
        <v>58</v>
      </c>
      <c r="H141" s="91" t="s">
        <v>362</v>
      </c>
      <c r="I141" s="137">
        <v>45971</v>
      </c>
      <c r="J141" s="91" t="s">
        <v>231</v>
      </c>
      <c r="K141" s="98" t="s">
        <v>363</v>
      </c>
      <c r="L141" s="137">
        <v>45971</v>
      </c>
      <c r="M141" s="92"/>
    </row>
    <row r="142" s="1" customFormat="1" spans="1:13">
      <c r="A142" s="121"/>
      <c r="B142" s="136" t="s">
        <v>50</v>
      </c>
      <c r="C142" s="91" t="s">
        <v>338</v>
      </c>
      <c r="D142" s="91">
        <v>842</v>
      </c>
      <c r="E142" s="91" t="s">
        <v>30</v>
      </c>
      <c r="F142" s="137">
        <v>45973</v>
      </c>
      <c r="G142" s="91" t="s">
        <v>231</v>
      </c>
      <c r="H142" s="98" t="s">
        <v>364</v>
      </c>
      <c r="I142" s="137">
        <v>45973</v>
      </c>
      <c r="J142" s="139" t="s">
        <v>58</v>
      </c>
      <c r="K142" s="98" t="s">
        <v>365</v>
      </c>
      <c r="L142" s="137">
        <v>45973</v>
      </c>
      <c r="M142" s="92"/>
    </row>
    <row r="143" s="1" customFormat="1" spans="1:13">
      <c r="A143" s="121"/>
      <c r="B143" s="136" t="s">
        <v>35</v>
      </c>
      <c r="C143" s="91" t="s">
        <v>350</v>
      </c>
      <c r="D143" s="91">
        <v>2097</v>
      </c>
      <c r="E143" s="91" t="s">
        <v>30</v>
      </c>
      <c r="F143" s="137">
        <v>45976</v>
      </c>
      <c r="G143" s="91" t="s">
        <v>58</v>
      </c>
      <c r="H143" s="98" t="s">
        <v>366</v>
      </c>
      <c r="I143" s="138">
        <v>45976</v>
      </c>
      <c r="J143" s="91" t="s">
        <v>37</v>
      </c>
      <c r="K143" s="98" t="s">
        <v>367</v>
      </c>
      <c r="L143" s="138">
        <v>45976</v>
      </c>
      <c r="M143" s="92"/>
    </row>
    <row r="144" s="1" customFormat="1" spans="1:13">
      <c r="A144" s="121"/>
      <c r="B144" s="93" t="s">
        <v>159</v>
      </c>
      <c r="C144" s="91"/>
      <c r="D144" s="91">
        <v>165</v>
      </c>
      <c r="E144" s="91" t="s">
        <v>30</v>
      </c>
      <c r="F144" s="137">
        <v>45974</v>
      </c>
      <c r="G144" s="91" t="s">
        <v>43</v>
      </c>
      <c r="H144" s="98" t="s">
        <v>368</v>
      </c>
      <c r="I144" s="138">
        <v>45976</v>
      </c>
      <c r="J144" s="91" t="s">
        <v>54</v>
      </c>
      <c r="K144" s="98" t="s">
        <v>290</v>
      </c>
      <c r="L144" s="138">
        <v>45976</v>
      </c>
      <c r="M144" s="92"/>
    </row>
    <row r="145" s="1" customFormat="1" spans="1:13">
      <c r="A145" s="121"/>
      <c r="B145" s="136" t="s">
        <v>50</v>
      </c>
      <c r="C145" s="91" t="s">
        <v>338</v>
      </c>
      <c r="D145" s="91">
        <v>842</v>
      </c>
      <c r="E145" s="91" t="s">
        <v>30</v>
      </c>
      <c r="F145" s="137">
        <v>45978</v>
      </c>
      <c r="G145" s="91" t="s">
        <v>58</v>
      </c>
      <c r="H145" s="91" t="s">
        <v>369</v>
      </c>
      <c r="I145" s="137">
        <v>45978</v>
      </c>
      <c r="J145" s="91" t="s">
        <v>231</v>
      </c>
      <c r="K145" s="98" t="s">
        <v>370</v>
      </c>
      <c r="L145" s="137">
        <v>45978</v>
      </c>
      <c r="M145" s="92"/>
    </row>
    <row r="146" s="1" customFormat="1" spans="1:13">
      <c r="A146" s="121"/>
      <c r="B146" s="136" t="s">
        <v>50</v>
      </c>
      <c r="C146" s="91" t="s">
        <v>338</v>
      </c>
      <c r="D146" s="91">
        <v>842</v>
      </c>
      <c r="E146" s="91" t="s">
        <v>30</v>
      </c>
      <c r="F146" s="137">
        <v>45980</v>
      </c>
      <c r="G146" s="91" t="s">
        <v>231</v>
      </c>
      <c r="H146" s="98" t="s">
        <v>371</v>
      </c>
      <c r="I146" s="137">
        <v>45980</v>
      </c>
      <c r="J146" s="139" t="s">
        <v>58</v>
      </c>
      <c r="K146" s="98" t="s">
        <v>372</v>
      </c>
      <c r="L146" s="137">
        <v>45980</v>
      </c>
      <c r="M146" s="92"/>
    </row>
    <row r="147" s="1" customFormat="1" spans="1:13">
      <c r="A147" s="121"/>
      <c r="B147" s="136" t="s">
        <v>35</v>
      </c>
      <c r="C147" s="91" t="s">
        <v>350</v>
      </c>
      <c r="D147" s="91">
        <v>2097</v>
      </c>
      <c r="E147" s="91" t="s">
        <v>30</v>
      </c>
      <c r="F147" s="137">
        <v>45982</v>
      </c>
      <c r="G147" s="91" t="s">
        <v>37</v>
      </c>
      <c r="H147" s="1" t="s">
        <v>332</v>
      </c>
      <c r="I147" s="138">
        <v>45982</v>
      </c>
      <c r="J147" s="91" t="s">
        <v>58</v>
      </c>
      <c r="K147" s="2" t="s">
        <v>373</v>
      </c>
      <c r="L147" s="138">
        <v>45982</v>
      </c>
      <c r="M147" s="92"/>
    </row>
    <row r="148" s="1" customFormat="1" spans="1:13">
      <c r="A148" s="121"/>
      <c r="B148" s="136" t="s">
        <v>50</v>
      </c>
      <c r="C148" s="91" t="s">
        <v>338</v>
      </c>
      <c r="D148" s="91">
        <v>842</v>
      </c>
      <c r="E148" s="91" t="s">
        <v>30</v>
      </c>
      <c r="F148" s="137">
        <v>45982</v>
      </c>
      <c r="G148" s="91" t="s">
        <v>58</v>
      </c>
      <c r="H148" s="91" t="s">
        <v>374</v>
      </c>
      <c r="I148" s="137">
        <v>45982</v>
      </c>
      <c r="J148" s="91" t="s">
        <v>231</v>
      </c>
      <c r="K148" s="91" t="s">
        <v>375</v>
      </c>
      <c r="L148" s="137">
        <v>45982</v>
      </c>
      <c r="M148" s="92"/>
    </row>
    <row r="149" s="1" customFormat="1" spans="1:13">
      <c r="A149" s="121"/>
      <c r="B149" s="136" t="s">
        <v>50</v>
      </c>
      <c r="C149" s="91" t="s">
        <v>338</v>
      </c>
      <c r="D149" s="91">
        <v>842</v>
      </c>
      <c r="E149" s="91" t="s">
        <v>30</v>
      </c>
      <c r="F149" s="137">
        <v>45984</v>
      </c>
      <c r="G149" s="91" t="s">
        <v>231</v>
      </c>
      <c r="H149" s="1" t="s">
        <v>376</v>
      </c>
      <c r="I149" s="137">
        <v>45984</v>
      </c>
      <c r="J149" s="139" t="s">
        <v>58</v>
      </c>
      <c r="K149" s="1" t="s">
        <v>377</v>
      </c>
      <c r="L149" s="137">
        <v>45984</v>
      </c>
      <c r="M149" s="92"/>
    </row>
    <row r="150" s="1" customFormat="1" spans="1:13">
      <c r="A150" s="121"/>
      <c r="B150" s="136" t="s">
        <v>50</v>
      </c>
      <c r="C150" s="91" t="s">
        <v>338</v>
      </c>
      <c r="D150" s="91">
        <v>842</v>
      </c>
      <c r="E150" s="91" t="s">
        <v>30</v>
      </c>
      <c r="F150" s="137">
        <v>45985</v>
      </c>
      <c r="G150" s="91" t="s">
        <v>58</v>
      </c>
      <c r="H150" s="91" t="s">
        <v>378</v>
      </c>
      <c r="I150" s="137">
        <v>45985</v>
      </c>
      <c r="J150" s="91" t="s">
        <v>231</v>
      </c>
      <c r="K150" s="91" t="s">
        <v>379</v>
      </c>
      <c r="L150" s="137">
        <v>45985</v>
      </c>
      <c r="M150" s="92"/>
    </row>
    <row r="151" s="1" customFormat="1" spans="1:13">
      <c r="A151" s="121"/>
      <c r="B151" s="136" t="s">
        <v>50</v>
      </c>
      <c r="C151" s="91" t="s">
        <v>338</v>
      </c>
      <c r="D151" s="91">
        <v>842</v>
      </c>
      <c r="E151" s="91" t="s">
        <v>30</v>
      </c>
      <c r="F151" s="137">
        <v>45987</v>
      </c>
      <c r="G151" s="91" t="s">
        <v>231</v>
      </c>
      <c r="H151" s="1" t="s">
        <v>376</v>
      </c>
      <c r="I151" s="137">
        <v>45987</v>
      </c>
      <c r="J151" s="139" t="s">
        <v>58</v>
      </c>
      <c r="K151" s="1" t="s">
        <v>380</v>
      </c>
      <c r="L151" s="137">
        <v>45987</v>
      </c>
      <c r="M151" s="92"/>
    </row>
    <row r="152" s="1" customFormat="1" spans="1:13">
      <c r="A152" s="121"/>
      <c r="B152" s="136" t="s">
        <v>35</v>
      </c>
      <c r="C152" s="91" t="s">
        <v>350</v>
      </c>
      <c r="D152" s="91">
        <v>2097</v>
      </c>
      <c r="E152" s="91" t="s">
        <v>30</v>
      </c>
      <c r="F152" s="137">
        <v>45987</v>
      </c>
      <c r="G152" s="91" t="s">
        <v>58</v>
      </c>
      <c r="H152" s="98" t="s">
        <v>381</v>
      </c>
      <c r="I152" s="138">
        <v>45987</v>
      </c>
      <c r="J152" s="91" t="s">
        <v>37</v>
      </c>
      <c r="K152" s="98" t="s">
        <v>381</v>
      </c>
      <c r="L152" s="138">
        <v>45987</v>
      </c>
      <c r="M152" s="92"/>
    </row>
    <row r="153" s="1" customFormat="1" spans="1:13">
      <c r="A153" s="121"/>
      <c r="B153" s="93"/>
      <c r="C153" s="91"/>
      <c r="D153" s="91"/>
      <c r="E153" s="91"/>
      <c r="F153" s="138"/>
      <c r="G153" s="91"/>
      <c r="H153" s="147"/>
      <c r="I153" s="138"/>
      <c r="J153" s="91"/>
      <c r="K153" s="91"/>
      <c r="L153" s="138"/>
      <c r="M153" s="92"/>
    </row>
    <row r="154" s="1" customFormat="1" spans="1:13">
      <c r="A154" s="148"/>
      <c r="B154" s="118" t="s">
        <v>382</v>
      </c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20"/>
    </row>
    <row r="155" s="1" customFormat="1" spans="1:13">
      <c r="A155" s="131"/>
      <c r="B155" s="88" t="s">
        <v>35</v>
      </c>
      <c r="C155" s="89" t="s">
        <v>36</v>
      </c>
      <c r="D155" s="89">
        <v>2097</v>
      </c>
      <c r="E155" s="94" t="s">
        <v>30</v>
      </c>
      <c r="F155" s="149">
        <v>45963</v>
      </c>
      <c r="G155" s="150" t="s">
        <v>383</v>
      </c>
      <c r="H155" s="151" t="s">
        <v>384</v>
      </c>
      <c r="I155" s="149">
        <v>45964</v>
      </c>
      <c r="J155" s="150" t="s">
        <v>54</v>
      </c>
      <c r="K155" s="151" t="s">
        <v>385</v>
      </c>
      <c r="L155" s="149">
        <v>45965</v>
      </c>
      <c r="M155" s="92"/>
    </row>
    <row r="156" s="1" customFormat="1" spans="1:13">
      <c r="A156" s="131"/>
      <c r="B156" s="88" t="s">
        <v>50</v>
      </c>
      <c r="C156" s="89" t="s">
        <v>67</v>
      </c>
      <c r="D156" s="89">
        <v>842</v>
      </c>
      <c r="E156" s="94" t="s">
        <v>30</v>
      </c>
      <c r="F156" s="149">
        <v>45965</v>
      </c>
      <c r="G156" s="152" t="s">
        <v>54</v>
      </c>
      <c r="H156" s="151" t="s">
        <v>239</v>
      </c>
      <c r="I156" s="149">
        <v>45965</v>
      </c>
      <c r="J156" s="153" t="s">
        <v>54</v>
      </c>
      <c r="K156" s="151" t="s">
        <v>240</v>
      </c>
      <c r="L156" s="149">
        <v>45966</v>
      </c>
      <c r="M156" s="92"/>
    </row>
    <row r="157" s="1" customFormat="1" spans="1:13">
      <c r="A157" s="131"/>
      <c r="B157" s="88" t="s">
        <v>50</v>
      </c>
      <c r="C157" s="89" t="s">
        <v>67</v>
      </c>
      <c r="D157" s="89">
        <v>842</v>
      </c>
      <c r="E157" s="94" t="s">
        <v>30</v>
      </c>
      <c r="F157" s="154">
        <v>45969</v>
      </c>
      <c r="G157" s="155" t="s">
        <v>54</v>
      </c>
      <c r="H157" s="151" t="s">
        <v>254</v>
      </c>
      <c r="I157" s="154">
        <v>45969</v>
      </c>
      <c r="J157" s="155" t="s">
        <v>54</v>
      </c>
      <c r="K157" s="151" t="s">
        <v>255</v>
      </c>
      <c r="L157" s="154">
        <v>45970</v>
      </c>
      <c r="M157" s="92"/>
    </row>
    <row r="158" s="1" customFormat="1" spans="1:13">
      <c r="A158" s="121"/>
      <c r="B158" s="156" t="s">
        <v>386</v>
      </c>
      <c r="C158" s="151" t="s">
        <v>387</v>
      </c>
      <c r="D158" s="157">
        <v>71</v>
      </c>
      <c r="E158" s="151" t="s">
        <v>30</v>
      </c>
      <c r="F158" s="158">
        <v>45966</v>
      </c>
      <c r="G158" s="159" t="s">
        <v>388</v>
      </c>
      <c r="H158" s="151" t="s">
        <v>389</v>
      </c>
      <c r="I158" s="158">
        <v>45970</v>
      </c>
      <c r="J158" s="159" t="s">
        <v>43</v>
      </c>
      <c r="K158" s="151" t="s">
        <v>390</v>
      </c>
      <c r="L158" s="158">
        <v>45971</v>
      </c>
      <c r="M158" s="106"/>
    </row>
    <row r="159" s="1" customFormat="1" spans="1:13">
      <c r="A159" s="131"/>
      <c r="B159" s="160" t="s">
        <v>391</v>
      </c>
      <c r="C159" s="94" t="s">
        <v>91</v>
      </c>
      <c r="D159" s="155">
        <v>21</v>
      </c>
      <c r="E159" s="94" t="s">
        <v>30</v>
      </c>
      <c r="F159" s="149">
        <v>45961</v>
      </c>
      <c r="G159" s="152" t="s">
        <v>383</v>
      </c>
      <c r="H159" s="151" t="s">
        <v>392</v>
      </c>
      <c r="I159" s="149">
        <v>45972</v>
      </c>
      <c r="J159" s="150" t="s">
        <v>383</v>
      </c>
      <c r="K159" s="151" t="s">
        <v>393</v>
      </c>
      <c r="L159" s="149">
        <v>45973</v>
      </c>
      <c r="M159" s="92"/>
    </row>
    <row r="160" s="1" customFormat="1" spans="1:13">
      <c r="A160" s="131"/>
      <c r="B160" s="88" t="s">
        <v>50</v>
      </c>
      <c r="C160" s="89" t="s">
        <v>67</v>
      </c>
      <c r="D160" s="89">
        <v>842</v>
      </c>
      <c r="E160" s="94" t="s">
        <v>30</v>
      </c>
      <c r="F160" s="161">
        <v>45972</v>
      </c>
      <c r="G160" s="162" t="s">
        <v>54</v>
      </c>
      <c r="H160" s="151" t="s">
        <v>259</v>
      </c>
      <c r="I160" s="161">
        <v>45972</v>
      </c>
      <c r="J160" s="162" t="s">
        <v>54</v>
      </c>
      <c r="K160" s="151" t="s">
        <v>270</v>
      </c>
      <c r="L160" s="161">
        <v>45973</v>
      </c>
      <c r="M160" s="92"/>
    </row>
    <row r="161" s="1" customFormat="1" spans="1:13">
      <c r="A161" s="131"/>
      <c r="B161" s="88" t="s">
        <v>35</v>
      </c>
      <c r="C161" s="89" t="s">
        <v>36</v>
      </c>
      <c r="D161" s="89">
        <v>2097</v>
      </c>
      <c r="E161" s="94" t="s">
        <v>30</v>
      </c>
      <c r="F161" s="161">
        <v>45972</v>
      </c>
      <c r="G161" s="162" t="s">
        <v>54</v>
      </c>
      <c r="H161" s="151" t="s">
        <v>264</v>
      </c>
      <c r="I161" s="161">
        <v>45972</v>
      </c>
      <c r="J161" s="162" t="s">
        <v>383</v>
      </c>
      <c r="K161" s="151" t="s">
        <v>394</v>
      </c>
      <c r="L161" s="161">
        <v>45973</v>
      </c>
      <c r="M161" s="92"/>
    </row>
    <row r="162" s="1" customFormat="1" spans="1:13">
      <c r="A162" s="131"/>
      <c r="B162" s="88" t="s">
        <v>35</v>
      </c>
      <c r="C162" s="89" t="s">
        <v>36</v>
      </c>
      <c r="D162" s="89">
        <v>2097</v>
      </c>
      <c r="E162" s="94" t="s">
        <v>30</v>
      </c>
      <c r="F162" s="149">
        <v>45974</v>
      </c>
      <c r="G162" s="152" t="s">
        <v>383</v>
      </c>
      <c r="H162" s="151" t="s">
        <v>395</v>
      </c>
      <c r="I162" s="149">
        <v>45975</v>
      </c>
      <c r="J162" s="150" t="s">
        <v>54</v>
      </c>
      <c r="K162" s="151" t="s">
        <v>273</v>
      </c>
      <c r="L162" s="149">
        <v>45976</v>
      </c>
      <c r="M162" s="92"/>
    </row>
    <row r="163" s="1" customFormat="1" spans="1:13">
      <c r="A163" s="131"/>
      <c r="B163" s="163" t="s">
        <v>396</v>
      </c>
      <c r="C163" s="94" t="s">
        <v>91</v>
      </c>
      <c r="D163" s="162">
        <v>114</v>
      </c>
      <c r="E163" s="94" t="s">
        <v>30</v>
      </c>
      <c r="F163" s="161">
        <v>45978</v>
      </c>
      <c r="G163" s="162" t="s">
        <v>65</v>
      </c>
      <c r="H163" s="151" t="s">
        <v>397</v>
      </c>
      <c r="I163" s="161">
        <v>45978</v>
      </c>
      <c r="J163" s="162" t="s">
        <v>398</v>
      </c>
      <c r="K163" s="151" t="s">
        <v>399</v>
      </c>
      <c r="L163" s="161">
        <v>45979</v>
      </c>
      <c r="M163" s="92"/>
    </row>
    <row r="164" s="1" customFormat="1" spans="1:13">
      <c r="A164" s="131"/>
      <c r="B164" s="88" t="s">
        <v>50</v>
      </c>
      <c r="C164" s="89" t="s">
        <v>67</v>
      </c>
      <c r="D164" s="89">
        <v>842</v>
      </c>
      <c r="E164" s="94" t="s">
        <v>30</v>
      </c>
      <c r="F164" s="184" t="s">
        <v>286</v>
      </c>
      <c r="G164" s="152" t="s">
        <v>54</v>
      </c>
      <c r="H164" s="151" t="s">
        <v>288</v>
      </c>
      <c r="I164" s="184" t="s">
        <v>286</v>
      </c>
      <c r="J164" s="150" t="s">
        <v>54</v>
      </c>
      <c r="K164" s="151" t="s">
        <v>292</v>
      </c>
      <c r="L164" s="184" t="s">
        <v>294</v>
      </c>
      <c r="M164" s="92"/>
    </row>
    <row r="165" s="1" customFormat="1" spans="1:13">
      <c r="A165" s="131"/>
      <c r="B165" s="163" t="s">
        <v>159</v>
      </c>
      <c r="C165" s="94" t="s">
        <v>289</v>
      </c>
      <c r="D165" s="162">
        <v>165</v>
      </c>
      <c r="E165" s="94" t="s">
        <v>30</v>
      </c>
      <c r="F165" s="161">
        <v>45980</v>
      </c>
      <c r="G165" s="162" t="s">
        <v>54</v>
      </c>
      <c r="H165" s="151" t="s">
        <v>291</v>
      </c>
      <c r="I165" s="161">
        <v>45982</v>
      </c>
      <c r="J165" s="162" t="s">
        <v>400</v>
      </c>
      <c r="K165" s="151" t="s">
        <v>401</v>
      </c>
      <c r="L165" s="161">
        <v>45983</v>
      </c>
      <c r="M165" s="96"/>
    </row>
    <row r="166" s="1" customFormat="1" spans="1:13">
      <c r="A166" s="131"/>
      <c r="B166" s="88" t="s">
        <v>50</v>
      </c>
      <c r="C166" s="89" t="s">
        <v>67</v>
      </c>
      <c r="D166" s="89">
        <v>842</v>
      </c>
      <c r="E166" s="94" t="s">
        <v>30</v>
      </c>
      <c r="F166" s="149">
        <v>45983</v>
      </c>
      <c r="G166" s="152" t="s">
        <v>54</v>
      </c>
      <c r="H166" s="151" t="s">
        <v>302</v>
      </c>
      <c r="I166" s="149">
        <v>45983</v>
      </c>
      <c r="J166" s="150" t="s">
        <v>54</v>
      </c>
      <c r="K166" s="151" t="s">
        <v>305</v>
      </c>
      <c r="L166" s="149">
        <v>45984</v>
      </c>
      <c r="M166" s="96"/>
    </row>
    <row r="167" s="1" customFormat="1" spans="1:13">
      <c r="A167" s="131"/>
      <c r="B167" s="88" t="s">
        <v>35</v>
      </c>
      <c r="C167" s="89" t="s">
        <v>36</v>
      </c>
      <c r="D167" s="89">
        <v>2097</v>
      </c>
      <c r="E167" s="94" t="s">
        <v>30</v>
      </c>
      <c r="F167" s="149">
        <v>45983</v>
      </c>
      <c r="G167" s="150" t="s">
        <v>54</v>
      </c>
      <c r="H167" s="151" t="s">
        <v>304</v>
      </c>
      <c r="I167" s="149">
        <v>45983</v>
      </c>
      <c r="J167" s="150" t="s">
        <v>383</v>
      </c>
      <c r="K167" s="151" t="s">
        <v>402</v>
      </c>
      <c r="L167" s="149">
        <v>45984</v>
      </c>
      <c r="M167" s="96"/>
    </row>
    <row r="168" s="1" customFormat="1" spans="1:13">
      <c r="A168" s="131"/>
      <c r="B168" s="88" t="s">
        <v>35</v>
      </c>
      <c r="C168" s="89" t="s">
        <v>36</v>
      </c>
      <c r="D168" s="89">
        <v>2097</v>
      </c>
      <c r="E168" s="94" t="s">
        <v>30</v>
      </c>
      <c r="F168" s="161">
        <v>45985</v>
      </c>
      <c r="G168" s="162" t="s">
        <v>383</v>
      </c>
      <c r="H168" s="151" t="s">
        <v>403</v>
      </c>
      <c r="I168" s="161">
        <v>45986</v>
      </c>
      <c r="J168" s="162" t="s">
        <v>54</v>
      </c>
      <c r="K168" s="151" t="s">
        <v>404</v>
      </c>
      <c r="L168" s="161">
        <v>45987</v>
      </c>
      <c r="M168" s="96"/>
    </row>
    <row r="169" s="1" customFormat="1" spans="1:13">
      <c r="A169" s="131"/>
      <c r="B169" s="88" t="s">
        <v>50</v>
      </c>
      <c r="C169" s="89" t="s">
        <v>67</v>
      </c>
      <c r="D169" s="89">
        <v>842</v>
      </c>
      <c r="E169" s="94" t="s">
        <v>30</v>
      </c>
      <c r="F169" s="185" t="s">
        <v>317</v>
      </c>
      <c r="G169" s="162" t="s">
        <v>54</v>
      </c>
      <c r="H169" s="164" t="s">
        <v>321</v>
      </c>
      <c r="I169" s="185" t="s">
        <v>317</v>
      </c>
      <c r="J169" s="162" t="s">
        <v>43</v>
      </c>
      <c r="K169" s="151" t="s">
        <v>405</v>
      </c>
      <c r="L169" s="185" t="s">
        <v>319</v>
      </c>
      <c r="M169" s="96"/>
    </row>
    <row r="170" s="1" customFormat="1" spans="1:13">
      <c r="A170" s="131"/>
      <c r="B170" s="163" t="s">
        <v>267</v>
      </c>
      <c r="C170" s="94" t="s">
        <v>91</v>
      </c>
      <c r="D170" s="162">
        <v>34</v>
      </c>
      <c r="E170" s="94" t="s">
        <v>30</v>
      </c>
      <c r="F170" s="161">
        <v>45991</v>
      </c>
      <c r="G170" s="162" t="s">
        <v>37</v>
      </c>
      <c r="H170" s="151" t="s">
        <v>406</v>
      </c>
      <c r="I170" s="161">
        <v>45991</v>
      </c>
      <c r="J170" s="162" t="s">
        <v>37</v>
      </c>
      <c r="K170" s="151" t="s">
        <v>407</v>
      </c>
      <c r="L170" s="161">
        <v>45992</v>
      </c>
      <c r="M170" s="96"/>
    </row>
    <row r="171" s="1" customFormat="1" spans="1:13">
      <c r="A171" s="121"/>
      <c r="B171" s="165"/>
      <c r="C171" s="151"/>
      <c r="D171" s="166"/>
      <c r="E171" s="151"/>
      <c r="F171" s="167"/>
      <c r="G171" s="168"/>
      <c r="H171" s="151"/>
      <c r="I171" s="167"/>
      <c r="J171" s="169"/>
      <c r="K171" s="89"/>
      <c r="L171" s="167"/>
      <c r="M171" s="126"/>
    </row>
    <row r="172" s="1" customFormat="1" spans="1:13">
      <c r="A172" s="134"/>
      <c r="B172" s="84" t="s">
        <v>408</v>
      </c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135"/>
    </row>
    <row r="173" s="1" customFormat="1" spans="1:13">
      <c r="A173" s="170" t="s">
        <v>409</v>
      </c>
      <c r="B173" s="171" t="s">
        <v>410</v>
      </c>
      <c r="C173" s="91" t="s">
        <v>91</v>
      </c>
      <c r="D173" s="172">
        <v>16</v>
      </c>
      <c r="E173" s="91" t="s">
        <v>30</v>
      </c>
      <c r="F173" s="173">
        <v>45949</v>
      </c>
      <c r="G173" s="91" t="s">
        <v>411</v>
      </c>
      <c r="H173" s="91" t="s">
        <v>412</v>
      </c>
      <c r="I173" s="173">
        <v>45963</v>
      </c>
      <c r="J173" s="91" t="s">
        <v>411</v>
      </c>
      <c r="K173" s="91" t="s">
        <v>413</v>
      </c>
      <c r="L173" s="173">
        <v>45964</v>
      </c>
      <c r="M173" s="92"/>
    </row>
    <row r="174" s="1" customFormat="1" spans="1:13">
      <c r="A174" s="170"/>
      <c r="B174" s="93" t="s">
        <v>414</v>
      </c>
      <c r="C174" s="91" t="s">
        <v>415</v>
      </c>
      <c r="D174" s="91">
        <v>40</v>
      </c>
      <c r="E174" s="91" t="s">
        <v>30</v>
      </c>
      <c r="F174" s="173">
        <v>45954</v>
      </c>
      <c r="G174" s="91" t="s">
        <v>37</v>
      </c>
      <c r="H174" s="91" t="s">
        <v>416</v>
      </c>
      <c r="I174" s="173">
        <v>45964</v>
      </c>
      <c r="J174" s="91" t="s">
        <v>37</v>
      </c>
      <c r="K174" s="91" t="s">
        <v>417</v>
      </c>
      <c r="L174" s="173">
        <v>45965</v>
      </c>
      <c r="M174" s="92"/>
    </row>
    <row r="175" s="1" customFormat="1" spans="1:13">
      <c r="A175" s="170" t="s">
        <v>418</v>
      </c>
      <c r="B175" s="88" t="s">
        <v>50</v>
      </c>
      <c r="C175" s="89" t="s">
        <v>67</v>
      </c>
      <c r="D175" s="89">
        <v>842</v>
      </c>
      <c r="E175" s="91" t="s">
        <v>30</v>
      </c>
      <c r="F175" s="173">
        <v>45964</v>
      </c>
      <c r="G175" s="91" t="s">
        <v>419</v>
      </c>
      <c r="H175" s="91" t="s">
        <v>420</v>
      </c>
      <c r="I175" s="173">
        <v>45964</v>
      </c>
      <c r="J175" s="91" t="s">
        <v>52</v>
      </c>
      <c r="K175" s="91" t="s">
        <v>421</v>
      </c>
      <c r="L175" s="173">
        <v>45964</v>
      </c>
      <c r="M175" s="92"/>
    </row>
    <row r="176" s="1" customFormat="1" spans="1:13">
      <c r="A176" s="170"/>
      <c r="B176" s="88" t="s">
        <v>35</v>
      </c>
      <c r="C176" s="89" t="s">
        <v>36</v>
      </c>
      <c r="D176" s="89">
        <v>2097</v>
      </c>
      <c r="E176" s="91" t="s">
        <v>30</v>
      </c>
      <c r="F176" s="173">
        <v>45965</v>
      </c>
      <c r="G176" s="91" t="s">
        <v>231</v>
      </c>
      <c r="H176" s="91" t="s">
        <v>422</v>
      </c>
      <c r="I176" s="173">
        <v>45965</v>
      </c>
      <c r="J176" s="91" t="s">
        <v>52</v>
      </c>
      <c r="K176" s="91" t="s">
        <v>351</v>
      </c>
      <c r="L176" s="173">
        <v>45965</v>
      </c>
      <c r="M176" s="92"/>
    </row>
    <row r="177" s="1" customFormat="1" spans="1:13">
      <c r="A177" s="170" t="s">
        <v>423</v>
      </c>
      <c r="B177" s="88" t="s">
        <v>50</v>
      </c>
      <c r="C177" s="89" t="s">
        <v>67</v>
      </c>
      <c r="D177" s="89">
        <v>842</v>
      </c>
      <c r="E177" s="91" t="s">
        <v>30</v>
      </c>
      <c r="F177" s="173">
        <v>45966</v>
      </c>
      <c r="G177" s="91" t="s">
        <v>52</v>
      </c>
      <c r="H177" s="91" t="s">
        <v>424</v>
      </c>
      <c r="I177" s="173">
        <v>45966</v>
      </c>
      <c r="J177" s="91" t="s">
        <v>419</v>
      </c>
      <c r="K177" s="91" t="s">
        <v>425</v>
      </c>
      <c r="L177" s="173">
        <v>45966</v>
      </c>
      <c r="M177" s="92"/>
    </row>
    <row r="178" s="1" customFormat="1" spans="1:13">
      <c r="A178" s="170"/>
      <c r="B178" s="93" t="s">
        <v>426</v>
      </c>
      <c r="C178" s="91" t="s">
        <v>91</v>
      </c>
      <c r="D178" s="91">
        <v>24</v>
      </c>
      <c r="E178" s="91" t="s">
        <v>30</v>
      </c>
      <c r="F178" s="173">
        <v>45955</v>
      </c>
      <c r="G178" s="91" t="s">
        <v>80</v>
      </c>
      <c r="H178" s="91" t="s">
        <v>91</v>
      </c>
      <c r="I178" s="173">
        <v>45935</v>
      </c>
      <c r="J178" s="91" t="s">
        <v>411</v>
      </c>
      <c r="K178" s="91" t="s">
        <v>427</v>
      </c>
      <c r="L178" s="173">
        <v>45967</v>
      </c>
      <c r="M178" s="92"/>
    </row>
    <row r="179" s="1" customFormat="1" spans="1:13">
      <c r="A179" s="170" t="s">
        <v>428</v>
      </c>
      <c r="B179" s="88" t="s">
        <v>50</v>
      </c>
      <c r="C179" s="89" t="s">
        <v>67</v>
      </c>
      <c r="D179" s="89">
        <v>842</v>
      </c>
      <c r="E179" s="91" t="s">
        <v>30</v>
      </c>
      <c r="F179" s="173">
        <v>45968</v>
      </c>
      <c r="G179" s="91" t="s">
        <v>419</v>
      </c>
      <c r="H179" s="91" t="s">
        <v>429</v>
      </c>
      <c r="I179" s="173">
        <v>45968</v>
      </c>
      <c r="J179" s="91" t="s">
        <v>52</v>
      </c>
      <c r="K179" s="91" t="s">
        <v>430</v>
      </c>
      <c r="L179" s="173">
        <v>45968</v>
      </c>
      <c r="M179" s="92"/>
    </row>
    <row r="180" s="1" customFormat="1" spans="1:13">
      <c r="A180" s="170" t="s">
        <v>431</v>
      </c>
      <c r="B180" s="88" t="s">
        <v>50</v>
      </c>
      <c r="C180" s="89" t="s">
        <v>67</v>
      </c>
      <c r="D180" s="89">
        <v>842</v>
      </c>
      <c r="E180" s="91" t="s">
        <v>30</v>
      </c>
      <c r="F180" s="173">
        <v>45970</v>
      </c>
      <c r="G180" s="91" t="s">
        <v>52</v>
      </c>
      <c r="H180" s="91" t="s">
        <v>359</v>
      </c>
      <c r="I180" s="173">
        <v>45966</v>
      </c>
      <c r="J180" s="91" t="s">
        <v>419</v>
      </c>
      <c r="K180" s="91" t="s">
        <v>432</v>
      </c>
      <c r="L180" s="173">
        <v>45970</v>
      </c>
      <c r="M180" s="92"/>
    </row>
    <row r="181" s="1" customFormat="1" spans="1:13">
      <c r="A181" s="170" t="s">
        <v>433</v>
      </c>
      <c r="B181" s="88" t="s">
        <v>50</v>
      </c>
      <c r="C181" s="89" t="s">
        <v>67</v>
      </c>
      <c r="D181" s="89">
        <v>842</v>
      </c>
      <c r="E181" s="91" t="s">
        <v>30</v>
      </c>
      <c r="F181" s="173">
        <v>45971</v>
      </c>
      <c r="G181" s="91" t="s">
        <v>419</v>
      </c>
      <c r="H181" s="91" t="s">
        <v>429</v>
      </c>
      <c r="I181" s="173">
        <v>45971</v>
      </c>
      <c r="J181" s="91" t="s">
        <v>52</v>
      </c>
      <c r="K181" s="91" t="s">
        <v>434</v>
      </c>
      <c r="L181" s="173">
        <v>45971</v>
      </c>
      <c r="M181" s="92"/>
    </row>
    <row r="182" s="1" customFormat="1" ht="15.75" spans="1:13">
      <c r="A182" s="174"/>
      <c r="B182" s="175"/>
      <c r="C182" s="142"/>
      <c r="D182" s="142"/>
      <c r="E182" s="142"/>
      <c r="F182" s="176"/>
      <c r="G182" s="142"/>
      <c r="H182" s="142"/>
      <c r="I182" s="176"/>
      <c r="J182" s="142"/>
      <c r="K182" s="142"/>
      <c r="L182" s="176"/>
      <c r="M182" s="146"/>
    </row>
    <row r="183" s="1" customFormat="1" ht="16.5" spans="1:13">
      <c r="A183" s="114">
        <v>1</v>
      </c>
      <c r="B183" s="81">
        <v>2</v>
      </c>
      <c r="C183" s="81">
        <v>3</v>
      </c>
      <c r="D183" s="81">
        <v>4</v>
      </c>
      <c r="E183" s="81">
        <v>5</v>
      </c>
      <c r="F183" s="81">
        <v>6</v>
      </c>
      <c r="G183" s="81">
        <v>7</v>
      </c>
      <c r="H183" s="81">
        <v>8</v>
      </c>
      <c r="I183" s="81">
        <v>9</v>
      </c>
      <c r="J183" s="81">
        <v>10</v>
      </c>
      <c r="K183" s="81">
        <v>11</v>
      </c>
      <c r="L183" s="81">
        <v>12</v>
      </c>
      <c r="M183" s="82">
        <v>13</v>
      </c>
    </row>
    <row r="184" s="1" customFormat="1" ht="15.75" spans="1:13">
      <c r="A184" s="170"/>
      <c r="B184" s="88" t="s">
        <v>35</v>
      </c>
      <c r="C184" s="89" t="s">
        <v>36</v>
      </c>
      <c r="D184" s="89">
        <v>2097</v>
      </c>
      <c r="E184" s="91" t="s">
        <v>30</v>
      </c>
      <c r="F184" s="173">
        <v>45971</v>
      </c>
      <c r="G184" s="91" t="s">
        <v>52</v>
      </c>
      <c r="H184" s="91" t="s">
        <v>361</v>
      </c>
      <c r="I184" s="173">
        <v>45971</v>
      </c>
      <c r="J184" s="91" t="s">
        <v>231</v>
      </c>
      <c r="K184" s="91" t="s">
        <v>435</v>
      </c>
      <c r="L184" s="173">
        <v>45971</v>
      </c>
      <c r="M184" s="92"/>
    </row>
    <row r="185" s="1" customFormat="1" spans="1:13">
      <c r="A185" s="170" t="s">
        <v>436</v>
      </c>
      <c r="B185" s="88" t="s">
        <v>50</v>
      </c>
      <c r="C185" s="89" t="s">
        <v>67</v>
      </c>
      <c r="D185" s="89">
        <v>842</v>
      </c>
      <c r="E185" s="91" t="s">
        <v>30</v>
      </c>
      <c r="F185" s="173">
        <v>45973</v>
      </c>
      <c r="G185" s="91" t="s">
        <v>52</v>
      </c>
      <c r="H185" s="91" t="s">
        <v>365</v>
      </c>
      <c r="I185" s="173">
        <v>45973</v>
      </c>
      <c r="J185" s="91" t="s">
        <v>419</v>
      </c>
      <c r="K185" s="91" t="s">
        <v>437</v>
      </c>
      <c r="L185" s="173">
        <v>45973</v>
      </c>
      <c r="M185" s="92"/>
    </row>
    <row r="186" s="1" customFormat="1" spans="1:13">
      <c r="A186" s="170"/>
      <c r="B186" s="88" t="s">
        <v>35</v>
      </c>
      <c r="C186" s="89" t="s">
        <v>36</v>
      </c>
      <c r="D186" s="89">
        <v>2097</v>
      </c>
      <c r="E186" s="91" t="s">
        <v>30</v>
      </c>
      <c r="F186" s="173">
        <v>45976</v>
      </c>
      <c r="G186" s="91" t="s">
        <v>231</v>
      </c>
      <c r="H186" s="91" t="s">
        <v>438</v>
      </c>
      <c r="I186" s="173">
        <v>45976</v>
      </c>
      <c r="J186" s="91" t="s">
        <v>52</v>
      </c>
      <c r="K186" s="91" t="s">
        <v>366</v>
      </c>
      <c r="L186" s="173">
        <v>45976</v>
      </c>
      <c r="M186" s="92"/>
    </row>
    <row r="187" s="1" customFormat="1" spans="1:13">
      <c r="A187" s="170" t="s">
        <v>439</v>
      </c>
      <c r="B187" s="88" t="s">
        <v>50</v>
      </c>
      <c r="C187" s="89" t="s">
        <v>67</v>
      </c>
      <c r="D187" s="89">
        <v>842</v>
      </c>
      <c r="E187" s="91" t="s">
        <v>30</v>
      </c>
      <c r="F187" s="173">
        <v>45978</v>
      </c>
      <c r="G187" s="91" t="s">
        <v>419</v>
      </c>
      <c r="H187" s="91" t="s">
        <v>440</v>
      </c>
      <c r="I187" s="173">
        <v>45978</v>
      </c>
      <c r="J187" s="91" t="s">
        <v>419</v>
      </c>
      <c r="K187" s="91" t="s">
        <v>441</v>
      </c>
      <c r="L187" s="173">
        <v>45978</v>
      </c>
      <c r="M187" s="92"/>
    </row>
    <row r="188" s="1" customFormat="1" spans="1:13">
      <c r="A188" s="170"/>
      <c r="B188" s="171" t="s">
        <v>410</v>
      </c>
      <c r="C188" s="91" t="s">
        <v>91</v>
      </c>
      <c r="D188" s="172">
        <v>16</v>
      </c>
      <c r="E188" s="91" t="s">
        <v>30</v>
      </c>
      <c r="F188" s="173">
        <v>45970</v>
      </c>
      <c r="G188" s="91" t="s">
        <v>411</v>
      </c>
      <c r="H188" s="91" t="s">
        <v>442</v>
      </c>
      <c r="I188" s="173">
        <v>45980</v>
      </c>
      <c r="J188" s="91" t="s">
        <v>411</v>
      </c>
      <c r="K188" s="91" t="s">
        <v>443</v>
      </c>
      <c r="L188" s="173">
        <v>45981</v>
      </c>
      <c r="M188" s="92"/>
    </row>
    <row r="189" s="1" customFormat="1" spans="1:13">
      <c r="A189" s="170"/>
      <c r="B189" s="93" t="s">
        <v>444</v>
      </c>
      <c r="C189" s="91" t="s">
        <v>91</v>
      </c>
      <c r="D189" s="91">
        <v>21</v>
      </c>
      <c r="E189" s="91" t="s">
        <v>30</v>
      </c>
      <c r="F189" s="173">
        <v>45961</v>
      </c>
      <c r="G189" s="91" t="s">
        <v>411</v>
      </c>
      <c r="H189" s="91" t="s">
        <v>445</v>
      </c>
      <c r="I189" s="173">
        <v>45980</v>
      </c>
      <c r="J189" s="91" t="s">
        <v>411</v>
      </c>
      <c r="K189" s="91" t="s">
        <v>446</v>
      </c>
      <c r="L189" s="173">
        <v>45981</v>
      </c>
      <c r="M189" s="92"/>
    </row>
    <row r="190" s="1" customFormat="1" spans="1:13">
      <c r="A190" s="170" t="s">
        <v>447</v>
      </c>
      <c r="B190" s="88" t="s">
        <v>50</v>
      </c>
      <c r="C190" s="89" t="s">
        <v>67</v>
      </c>
      <c r="D190" s="89">
        <v>842</v>
      </c>
      <c r="E190" s="91" t="s">
        <v>30</v>
      </c>
      <c r="F190" s="173">
        <v>45980</v>
      </c>
      <c r="G190" s="91" t="s">
        <v>52</v>
      </c>
      <c r="H190" s="91" t="s">
        <v>372</v>
      </c>
      <c r="I190" s="173">
        <v>45949</v>
      </c>
      <c r="J190" s="91" t="s">
        <v>419</v>
      </c>
      <c r="K190" s="91" t="s">
        <v>448</v>
      </c>
      <c r="L190" s="173">
        <v>45980</v>
      </c>
      <c r="M190" s="92"/>
    </row>
    <row r="191" s="1" customFormat="1" spans="1:13">
      <c r="A191" s="170" t="s">
        <v>449</v>
      </c>
      <c r="B191" s="88" t="s">
        <v>50</v>
      </c>
      <c r="C191" s="89" t="s">
        <v>67</v>
      </c>
      <c r="D191" s="89">
        <v>842</v>
      </c>
      <c r="E191" s="91" t="s">
        <v>30</v>
      </c>
      <c r="F191" s="173">
        <v>45982</v>
      </c>
      <c r="G191" s="91" t="s">
        <v>419</v>
      </c>
      <c r="H191" s="91" t="s">
        <v>450</v>
      </c>
      <c r="I191" s="173">
        <v>45982</v>
      </c>
      <c r="J191" s="91" t="s">
        <v>52</v>
      </c>
      <c r="K191" s="91" t="s">
        <v>451</v>
      </c>
      <c r="L191" s="173">
        <v>45982</v>
      </c>
      <c r="M191" s="92"/>
    </row>
    <row r="192" s="1" customFormat="1" spans="1:13">
      <c r="A192" s="170"/>
      <c r="B192" s="88" t="s">
        <v>35</v>
      </c>
      <c r="C192" s="89" t="s">
        <v>36</v>
      </c>
      <c r="D192" s="89">
        <v>2097</v>
      </c>
      <c r="E192" s="91" t="s">
        <v>30</v>
      </c>
      <c r="F192" s="173">
        <v>45982</v>
      </c>
      <c r="G192" s="91" t="s">
        <v>52</v>
      </c>
      <c r="H192" s="91" t="s">
        <v>373</v>
      </c>
      <c r="I192" s="173">
        <v>45982</v>
      </c>
      <c r="J192" s="91" t="s">
        <v>231</v>
      </c>
      <c r="K192" s="91" t="s">
        <v>452</v>
      </c>
      <c r="L192" s="173">
        <v>45982</v>
      </c>
      <c r="M192" s="92"/>
    </row>
    <row r="193" s="1" customFormat="1" spans="1:13">
      <c r="A193" s="170" t="s">
        <v>453</v>
      </c>
      <c r="B193" s="88" t="s">
        <v>50</v>
      </c>
      <c r="C193" s="89" t="s">
        <v>67</v>
      </c>
      <c r="D193" s="89">
        <v>842</v>
      </c>
      <c r="E193" s="91" t="s">
        <v>30</v>
      </c>
      <c r="F193" s="173">
        <v>45984</v>
      </c>
      <c r="G193" s="91" t="s">
        <v>52</v>
      </c>
      <c r="H193" s="91" t="s">
        <v>377</v>
      </c>
      <c r="I193" s="173">
        <v>45984</v>
      </c>
      <c r="J193" s="91" t="s">
        <v>419</v>
      </c>
      <c r="K193" s="91" t="s">
        <v>454</v>
      </c>
      <c r="L193" s="173">
        <v>45984</v>
      </c>
      <c r="M193" s="92"/>
    </row>
    <row r="194" s="1" customFormat="1" spans="1:13">
      <c r="A194" s="170" t="s">
        <v>455</v>
      </c>
      <c r="B194" s="88" t="s">
        <v>50</v>
      </c>
      <c r="C194" s="89" t="s">
        <v>67</v>
      </c>
      <c r="D194" s="89">
        <v>842</v>
      </c>
      <c r="E194" s="91" t="s">
        <v>30</v>
      </c>
      <c r="F194" s="173">
        <v>45985</v>
      </c>
      <c r="G194" s="91" t="s">
        <v>419</v>
      </c>
      <c r="H194" s="91" t="s">
        <v>456</v>
      </c>
      <c r="I194" s="173">
        <v>45985</v>
      </c>
      <c r="J194" s="91" t="s">
        <v>52</v>
      </c>
      <c r="K194" s="91" t="s">
        <v>457</v>
      </c>
      <c r="L194" s="173">
        <v>45985</v>
      </c>
      <c r="M194" s="92"/>
    </row>
    <row r="195" s="1" customFormat="1" spans="1:13">
      <c r="A195" s="170"/>
      <c r="B195" s="88" t="s">
        <v>35</v>
      </c>
      <c r="C195" s="89" t="s">
        <v>36</v>
      </c>
      <c r="D195" s="89">
        <v>2097</v>
      </c>
      <c r="E195" s="91" t="s">
        <v>30</v>
      </c>
      <c r="F195" s="173">
        <v>45987</v>
      </c>
      <c r="G195" s="91" t="s">
        <v>231</v>
      </c>
      <c r="H195" s="91" t="s">
        <v>458</v>
      </c>
      <c r="I195" s="173">
        <v>45987</v>
      </c>
      <c r="J195" s="91" t="s">
        <v>52</v>
      </c>
      <c r="K195" s="91" t="s">
        <v>459</v>
      </c>
      <c r="L195" s="173">
        <v>45987</v>
      </c>
      <c r="M195" s="92"/>
    </row>
    <row r="196" s="1" customFormat="1" spans="1:13">
      <c r="A196" s="170" t="s">
        <v>460</v>
      </c>
      <c r="B196" s="88" t="s">
        <v>50</v>
      </c>
      <c r="C196" s="89" t="s">
        <v>67</v>
      </c>
      <c r="D196" s="89">
        <v>842</v>
      </c>
      <c r="E196" s="91" t="s">
        <v>30</v>
      </c>
      <c r="F196" s="173">
        <v>45987</v>
      </c>
      <c r="G196" s="91" t="s">
        <v>52</v>
      </c>
      <c r="H196" s="91" t="s">
        <v>380</v>
      </c>
      <c r="I196" s="173">
        <v>45987</v>
      </c>
      <c r="J196" s="91" t="s">
        <v>52</v>
      </c>
      <c r="K196" s="91" t="s">
        <v>461</v>
      </c>
      <c r="L196" s="173">
        <v>45987</v>
      </c>
      <c r="M196" s="92"/>
    </row>
    <row r="197" s="1" customFormat="1" spans="1:13">
      <c r="A197" s="170"/>
      <c r="B197" s="93" t="s">
        <v>56</v>
      </c>
      <c r="C197" s="91" t="s">
        <v>57</v>
      </c>
      <c r="D197" s="91">
        <v>213</v>
      </c>
      <c r="E197" s="91" t="s">
        <v>30</v>
      </c>
      <c r="F197" s="173">
        <v>45988</v>
      </c>
      <c r="G197" s="91" t="s">
        <v>37</v>
      </c>
      <c r="H197" s="91" t="s">
        <v>462</v>
      </c>
      <c r="I197" s="173">
        <v>45990</v>
      </c>
      <c r="J197" s="91" t="s">
        <v>231</v>
      </c>
      <c r="K197" s="91" t="s">
        <v>463</v>
      </c>
      <c r="L197" s="173">
        <v>45990</v>
      </c>
      <c r="M197" s="92"/>
    </row>
    <row r="198" s="1" customFormat="1" spans="1:13">
      <c r="A198" s="170"/>
      <c r="B198" s="93" t="s">
        <v>426</v>
      </c>
      <c r="C198" s="91" t="s">
        <v>91</v>
      </c>
      <c r="D198" s="91">
        <v>24</v>
      </c>
      <c r="E198" s="91" t="s">
        <v>30</v>
      </c>
      <c r="F198" s="173">
        <v>45984</v>
      </c>
      <c r="G198" s="91" t="s">
        <v>80</v>
      </c>
      <c r="H198" s="91" t="s">
        <v>91</v>
      </c>
      <c r="I198" s="173">
        <v>45991</v>
      </c>
      <c r="J198" s="91" t="s">
        <v>411</v>
      </c>
      <c r="K198" s="91" t="s">
        <v>464</v>
      </c>
      <c r="L198" s="173">
        <v>45992</v>
      </c>
      <c r="M198" s="92"/>
    </row>
    <row r="199" s="1" customFormat="1" ht="15.75" spans="1:13">
      <c r="A199" s="174"/>
      <c r="B199" s="175"/>
      <c r="C199" s="142"/>
      <c r="D199" s="142"/>
      <c r="E199" s="142"/>
      <c r="F199" s="176"/>
      <c r="G199" s="142"/>
      <c r="H199" s="142"/>
      <c r="I199" s="176"/>
      <c r="J199" s="142"/>
      <c r="K199" s="142"/>
      <c r="L199" s="176"/>
      <c r="M199" s="146"/>
    </row>
    <row r="200" s="1" customFormat="1" ht="3.95" customHeight="1" spans="1:13">
      <c r="A200" s="177"/>
      <c r="B200" s="178"/>
      <c r="C200" s="179"/>
      <c r="D200" s="179"/>
      <c r="F200" s="180"/>
      <c r="I200" s="180"/>
      <c r="L200" s="180"/>
    </row>
    <row r="201" spans="1:13">
      <c r="A201" s="57"/>
      <c r="K201" s="1" t="s">
        <v>465</v>
      </c>
    </row>
    <row r="202" spans="1:13">
      <c r="A202" s="58"/>
      <c r="B202" s="3"/>
      <c r="C202" s="3"/>
      <c r="D202" s="3"/>
      <c r="E202" s="3"/>
      <c r="F202" s="3"/>
      <c r="G202" s="3"/>
      <c r="H202" s="3"/>
      <c r="I202" s="3"/>
      <c r="J202" s="58"/>
      <c r="K202" s="3" t="s">
        <v>466</v>
      </c>
      <c r="L202" s="3"/>
    </row>
    <row r="203" spans="1:13">
      <c r="A203" s="58"/>
      <c r="B203" s="3"/>
      <c r="C203" s="3"/>
      <c r="D203" s="3"/>
      <c r="E203" s="3"/>
      <c r="F203" s="3"/>
      <c r="G203" s="3"/>
      <c r="H203" s="3"/>
      <c r="I203" s="3"/>
      <c r="J203" s="58"/>
      <c r="K203" s="3" t="s">
        <v>467</v>
      </c>
      <c r="L203" s="3"/>
    </row>
    <row r="204" ht="11.25" customHeight="1" spans="1:13">
      <c r="A204" s="58"/>
      <c r="B204" s="3"/>
      <c r="C204" s="3"/>
      <c r="D204" s="3"/>
      <c r="E204" s="3"/>
      <c r="F204" s="3"/>
      <c r="G204" s="3"/>
      <c r="H204" s="3"/>
      <c r="I204" s="3"/>
      <c r="J204" s="58"/>
      <c r="K204" s="3"/>
      <c r="L204" s="3"/>
    </row>
    <row r="205" ht="11.25" customHeight="1" spans="1:13">
      <c r="A205" s="58"/>
      <c r="B205" s="3"/>
      <c r="C205" s="3"/>
      <c r="D205" s="3"/>
      <c r="E205" s="3"/>
      <c r="F205" s="3"/>
      <c r="G205" s="3"/>
      <c r="H205" s="3"/>
      <c r="I205" s="3"/>
      <c r="J205" s="58"/>
      <c r="K205" s="3"/>
      <c r="L205" s="3"/>
    </row>
    <row r="206" ht="9.75" customHeight="1" spans="1:13">
      <c r="A206" s="58"/>
      <c r="B206" s="3"/>
      <c r="C206" s="3"/>
      <c r="D206" s="3"/>
      <c r="E206" s="3"/>
      <c r="F206" s="3"/>
      <c r="G206" s="3"/>
      <c r="H206" s="3"/>
      <c r="I206" s="3"/>
      <c r="J206" s="58"/>
      <c r="K206" s="3"/>
      <c r="L206" s="3"/>
    </row>
    <row r="207" s="1" customFormat="1" ht="16.5" customHeight="1" spans="1:13">
      <c r="A207" s="58"/>
      <c r="B207" s="3"/>
      <c r="C207" s="3"/>
      <c r="D207" s="3"/>
      <c r="E207" s="3"/>
      <c r="F207" s="3"/>
      <c r="G207" s="3"/>
      <c r="H207" s="3"/>
      <c r="I207" s="3"/>
      <c r="J207" s="58"/>
      <c r="K207" s="181" t="s">
        <v>468</v>
      </c>
      <c r="L207" s="3"/>
      <c r="M207" s="27"/>
    </row>
    <row r="208" ht="15.75" customHeight="1" spans="1:13">
      <c r="A208" s="58"/>
      <c r="B208" s="3"/>
      <c r="C208" s="3"/>
      <c r="D208" s="3"/>
      <c r="E208" s="3"/>
      <c r="F208" s="3"/>
      <c r="G208" s="3"/>
      <c r="H208" s="3"/>
      <c r="I208" s="3"/>
      <c r="J208" s="58"/>
      <c r="K208" s="3" t="s">
        <v>469</v>
      </c>
      <c r="L208" s="3"/>
    </row>
    <row r="209" ht="13.5" customHeight="1" spans="11:11">
      <c r="K209" s="3" t="s">
        <v>470</v>
      </c>
    </row>
  </sheetData>
  <mergeCells count="12">
    <mergeCell ref="A1:R1"/>
    <mergeCell ref="A2:R2"/>
    <mergeCell ref="A3:M3"/>
    <mergeCell ref="B5:E5"/>
    <mergeCell ref="F5:L5"/>
    <mergeCell ref="F6:H6"/>
    <mergeCell ref="I6:L6"/>
    <mergeCell ref="B6:B8"/>
    <mergeCell ref="H7:H8"/>
    <mergeCell ref="K7:K8"/>
    <mergeCell ref="L7:L8"/>
    <mergeCell ref="M5:M8"/>
  </mergeCells>
  <printOptions horizontalCentered="1"/>
  <pageMargins left="0.196850393700787" right="0" top="0.590551181102362" bottom="0.393700787401575" header="0.275590551181102" footer="0.31496062992126"/>
  <pageSetup paperSize="10002" scale="85" orientation="landscape" useFirstPageNumber="1"/>
  <headerFooter>
    <oddHeader>&amp;CPage &amp;P</oddHeader>
  </headerFooter>
  <colBreaks count="1" manualBreakCount="1">
    <brk id="20" max="18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99"/>
  </sheetPr>
  <dimension ref="A1:R24"/>
  <sheetViews>
    <sheetView view="pageBreakPreview" zoomScale="90" zoomScalePageLayoutView="70" zoomScaleNormal="80" workbookViewId="0">
      <selection activeCell="H27" sqref="H27"/>
    </sheetView>
  </sheetViews>
  <sheetFormatPr defaultColWidth="9" defaultRowHeight="15"/>
  <cols>
    <col min="1" max="1" width="12" style="1" customWidth="1"/>
    <col min="2" max="2" width="25.4285714285714" customWidth="1"/>
    <col min="3" max="3" width="11.1428571428571" style="2" customWidth="1"/>
    <col min="4" max="4" width="7.57142857142857" style="2" customWidth="1"/>
    <col min="5" max="5" width="10.1428571428571" style="2" customWidth="1"/>
    <col min="6" max="6" width="8.57142857142857" style="2" customWidth="1"/>
    <col min="7" max="7" width="12.7142857142857" style="2" customWidth="1"/>
    <col min="8" max="8" width="30.5714285714286" style="2" customWidth="1"/>
    <col min="9" max="9" width="8.57142857142857" style="2" customWidth="1"/>
    <col min="10" max="10" width="12.7142857142857" style="1" customWidth="1"/>
    <col min="11" max="11" width="27.1428571428571" style="2" customWidth="1"/>
    <col min="12" max="12" width="8.57142857142857" style="2" customWidth="1"/>
    <col min="13" max="13" width="12.7142857142857" customWidth="1"/>
    <col min="14" max="14" width="9.14285714285714" hidden="1" customWidth="1"/>
    <col min="15" max="15" width="9" hidden="1" customWidth="1"/>
    <col min="16" max="17" width="9.14285714285714" hidden="1" customWidth="1"/>
    <col min="18" max="18" width="15.4285714285714" hidden="1" customWidth="1"/>
    <col min="19" max="19" width="9.14285714285714" hidden="1" customWidth="1"/>
    <col min="20" max="20" width="0.142857142857143" hidden="1" customWidth="1"/>
    <col min="21" max="22" width="9.14285714285714" customWidth="1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4" t="str">
        <f>'LAP. SPB'!A3:M3</f>
        <v>BULAN JANUARI 2026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</row>
    <row r="4" customHeight="1" spans="1:18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1"/>
      <c r="O4" s="1"/>
      <c r="P4" s="1"/>
      <c r="Q4" s="1"/>
    </row>
    <row r="5" customHeight="1" spans="1:18">
      <c r="A5" s="8" t="s">
        <v>471</v>
      </c>
      <c r="B5" s="9"/>
      <c r="C5" s="10" t="s">
        <v>472</v>
      </c>
      <c r="D5" s="11"/>
      <c r="E5" s="11"/>
      <c r="F5" s="11"/>
      <c r="G5" s="11"/>
      <c r="H5" s="11"/>
      <c r="I5" s="11"/>
      <c r="J5" s="11"/>
      <c r="K5" s="12"/>
      <c r="L5" s="13" t="s">
        <v>473</v>
      </c>
      <c r="M5" s="14"/>
      <c r="N5" s="15"/>
      <c r="O5" s="15"/>
      <c r="P5" s="15"/>
      <c r="Q5" s="16"/>
    </row>
    <row r="6" customHeight="1" spans="1:18">
      <c r="A6" s="17"/>
      <c r="B6" s="18"/>
      <c r="C6" s="19" t="s">
        <v>474</v>
      </c>
      <c r="D6" s="20"/>
      <c r="E6" s="21"/>
      <c r="F6" s="22" t="s">
        <v>475</v>
      </c>
      <c r="G6" s="23"/>
      <c r="H6" s="24" t="s">
        <v>476</v>
      </c>
      <c r="I6" s="25"/>
      <c r="J6" s="24" t="s">
        <v>477</v>
      </c>
      <c r="K6" s="25"/>
      <c r="L6" s="24"/>
      <c r="M6" s="26"/>
      <c r="N6" s="27"/>
      <c r="O6" s="27"/>
      <c r="P6" s="27"/>
      <c r="Q6" s="28"/>
    </row>
    <row r="7" ht="15.75" spans="1:18">
      <c r="A7" s="29" t="s">
        <v>478</v>
      </c>
      <c r="B7" s="30"/>
      <c r="C7" s="31"/>
      <c r="D7" s="32"/>
      <c r="E7" s="32"/>
      <c r="F7" s="31"/>
      <c r="G7" s="33"/>
      <c r="H7" s="31">
        <f t="shared" ref="H7:H12" si="0">C7+F7-J7</f>
        <v>0</v>
      </c>
      <c r="I7" s="33"/>
      <c r="J7" s="31">
        <v>0</v>
      </c>
      <c r="K7" s="33"/>
      <c r="L7" s="31">
        <f t="shared" ref="L7" si="1">SUM(H7+J7)</f>
        <v>0</v>
      </c>
      <c r="M7" s="34"/>
      <c r="N7" s="27"/>
      <c r="O7" s="27"/>
      <c r="P7" s="27"/>
      <c r="Q7" s="28"/>
    </row>
    <row r="8" customHeight="1" spans="1:18">
      <c r="A8" s="29" t="s">
        <v>198</v>
      </c>
      <c r="B8" s="30"/>
      <c r="C8" s="35"/>
      <c r="D8" s="36"/>
      <c r="E8" s="36"/>
      <c r="F8" s="35">
        <v>0</v>
      </c>
      <c r="G8" s="37"/>
      <c r="H8" s="35">
        <f t="shared" si="0"/>
        <v>0</v>
      </c>
      <c r="I8" s="37"/>
      <c r="J8" s="35">
        <v>0</v>
      </c>
      <c r="K8" s="37"/>
      <c r="L8" s="35">
        <f t="shared" ref="L8:L12" si="2">SUM(H8+J8)</f>
        <v>0</v>
      </c>
      <c r="M8" s="38"/>
      <c r="N8" s="39"/>
      <c r="O8" s="39"/>
      <c r="P8" s="39"/>
      <c r="Q8" s="40"/>
    </row>
    <row r="9" s="1" customFormat="1" spans="1:18">
      <c r="A9" s="29" t="s">
        <v>207</v>
      </c>
      <c r="B9" s="30"/>
      <c r="C9" s="35"/>
      <c r="D9" s="36"/>
      <c r="E9" s="36"/>
      <c r="F9" s="35"/>
      <c r="G9" s="37"/>
      <c r="H9" s="35">
        <f t="shared" si="0"/>
        <v>0</v>
      </c>
      <c r="I9" s="37"/>
      <c r="J9" s="35">
        <v>0</v>
      </c>
      <c r="K9" s="37"/>
      <c r="L9" s="35">
        <f t="shared" si="2"/>
        <v>0</v>
      </c>
      <c r="M9" s="38"/>
    </row>
    <row r="10" s="1" customFormat="1" spans="1:18">
      <c r="A10" s="29" t="s">
        <v>337</v>
      </c>
      <c r="B10" s="30"/>
      <c r="C10" s="35"/>
      <c r="D10" s="36"/>
      <c r="E10" s="36"/>
      <c r="F10" s="35"/>
      <c r="G10" s="37"/>
      <c r="H10" s="35">
        <f t="shared" si="0"/>
        <v>0</v>
      </c>
      <c r="I10" s="37"/>
      <c r="J10" s="35">
        <v>0</v>
      </c>
      <c r="K10" s="37"/>
      <c r="L10" s="35">
        <f t="shared" si="2"/>
        <v>0</v>
      </c>
      <c r="M10" s="38"/>
    </row>
    <row r="11" s="1" customFormat="1" spans="1:18">
      <c r="A11" s="41" t="s">
        <v>382</v>
      </c>
      <c r="B11" s="42"/>
      <c r="C11" s="35"/>
      <c r="D11" s="36"/>
      <c r="E11" s="36"/>
      <c r="F11" s="35"/>
      <c r="G11" s="37"/>
      <c r="H11" s="35">
        <f t="shared" si="0"/>
        <v>0</v>
      </c>
      <c r="I11" s="37"/>
      <c r="J11" s="35">
        <v>0</v>
      </c>
      <c r="K11" s="37"/>
      <c r="L11" s="35">
        <f t="shared" si="2"/>
        <v>0</v>
      </c>
      <c r="M11" s="38"/>
    </row>
    <row r="12" s="1" customFormat="1" ht="15.75" spans="1:18">
      <c r="A12" s="43" t="s">
        <v>408</v>
      </c>
      <c r="B12" s="44"/>
      <c r="C12" s="45"/>
      <c r="D12" s="46"/>
      <c r="E12" s="46"/>
      <c r="F12" s="45"/>
      <c r="G12" s="47"/>
      <c r="H12" s="45">
        <f t="shared" si="0"/>
        <v>0</v>
      </c>
      <c r="I12" s="47"/>
      <c r="J12" s="45">
        <v>0</v>
      </c>
      <c r="K12" s="47"/>
      <c r="L12" s="45">
        <f t="shared" si="2"/>
        <v>0</v>
      </c>
      <c r="M12" s="48"/>
    </row>
    <row r="13" s="1" customFormat="1" ht="16.5" spans="1:18">
      <c r="A13" s="49" t="s">
        <v>479</v>
      </c>
      <c r="B13" s="50"/>
      <c r="C13" s="51">
        <f>SUM(C7:E12)</f>
        <v>0</v>
      </c>
      <c r="D13" s="52"/>
      <c r="E13" s="52"/>
      <c r="F13" s="51">
        <f>SUM(F7:G12)</f>
        <v>0</v>
      </c>
      <c r="G13" s="53"/>
      <c r="H13" s="51">
        <f>SUM(H7:I12)</f>
        <v>0</v>
      </c>
      <c r="I13" s="53"/>
      <c r="J13" s="54">
        <f>SUM(J7:K12)</f>
        <v>0</v>
      </c>
      <c r="K13" s="55"/>
      <c r="L13" s="51">
        <f>SUM(L7:M12)</f>
        <v>0</v>
      </c>
      <c r="M13" s="56"/>
    </row>
    <row r="14" s="1" customFormat="1" ht="15.75" spans="1:18">
      <c r="B14"/>
      <c r="C14" s="2"/>
      <c r="D14" s="2"/>
      <c r="E14" s="2"/>
      <c r="F14" s="2"/>
      <c r="G14" s="2"/>
      <c r="H14" s="2"/>
      <c r="I14" s="2"/>
      <c r="K14" s="2"/>
      <c r="L14" s="2"/>
      <c r="M14"/>
    </row>
    <row r="15" s="1" customFormat="1" spans="1:18">
      <c r="A15" s="57"/>
      <c r="E15" s="2"/>
      <c r="G15" s="2"/>
      <c r="K15" s="1" t="str">
        <f>'LAP. SPB'!K201</f>
        <v>Jampea, 05 Januari 2026</v>
      </c>
      <c r="M15" s="27"/>
    </row>
    <row r="16" s="1" customFormat="1" ht="15.75" spans="1:18">
      <c r="A16" s="58"/>
      <c r="B16" s="59" t="s">
        <v>480</v>
      </c>
      <c r="C16" s="59"/>
      <c r="D16" s="3"/>
      <c r="E16" s="60"/>
      <c r="F16" s="3"/>
      <c r="G16" s="3"/>
      <c r="H16" s="3"/>
      <c r="I16" s="3"/>
      <c r="J16" s="58"/>
      <c r="L16" s="3"/>
      <c r="M16" s="27"/>
    </row>
    <row r="17" s="1" customFormat="1" ht="15.75" spans="1:13">
      <c r="A17" s="58"/>
      <c r="B17" s="59" t="s">
        <v>466</v>
      </c>
      <c r="C17" s="59"/>
      <c r="D17" s="3"/>
      <c r="E17" s="60"/>
      <c r="F17" s="3"/>
      <c r="G17" s="3"/>
      <c r="H17" s="3"/>
      <c r="I17" s="3"/>
      <c r="J17" s="58"/>
      <c r="K17" s="59" t="s">
        <v>481</v>
      </c>
      <c r="L17" s="3"/>
      <c r="M17" s="27"/>
    </row>
    <row r="18" s="1" customFormat="1" ht="15.75" spans="1:13">
      <c r="A18" s="58"/>
      <c r="B18" s="59" t="s">
        <v>467</v>
      </c>
      <c r="C18" s="59"/>
      <c r="D18" s="3"/>
      <c r="E18" s="60"/>
      <c r="F18" s="3"/>
      <c r="G18" s="3"/>
      <c r="H18" s="3"/>
      <c r="I18" s="3"/>
      <c r="J18" s="58"/>
      <c r="K18" s="59" t="s">
        <v>482</v>
      </c>
      <c r="L18" s="3"/>
      <c r="M18" s="27"/>
    </row>
    <row r="19" s="1" customFormat="1" ht="15.75" spans="1:13">
      <c r="A19" s="58"/>
      <c r="B19" s="59"/>
      <c r="D19" s="3"/>
      <c r="E19" s="60"/>
      <c r="F19" s="3"/>
      <c r="G19" s="3"/>
      <c r="H19" s="3"/>
      <c r="I19" s="3"/>
      <c r="J19" s="58"/>
      <c r="K19" s="59"/>
      <c r="L19" s="3"/>
      <c r="M19" s="27"/>
    </row>
    <row r="20" s="1" customFormat="1" ht="15.75" spans="1:13">
      <c r="A20" s="58"/>
      <c r="B20" s="59"/>
      <c r="D20" s="3"/>
      <c r="E20" s="60"/>
      <c r="F20" s="3"/>
      <c r="G20" s="3"/>
      <c r="H20" s="3"/>
      <c r="I20" s="3"/>
      <c r="J20" s="58"/>
      <c r="K20" s="59"/>
      <c r="L20" s="3"/>
      <c r="M20" s="27"/>
    </row>
    <row r="21" s="1" customFormat="1" ht="15.75" spans="1:13">
      <c r="A21" s="58"/>
      <c r="B21" s="59"/>
      <c r="D21" s="3"/>
      <c r="E21" s="60"/>
      <c r="F21" s="3"/>
      <c r="G21" s="3"/>
      <c r="H21" s="3"/>
      <c r="I21" s="3"/>
      <c r="J21" s="58"/>
      <c r="K21" s="59"/>
      <c r="L21" s="3"/>
      <c r="M21" s="27"/>
    </row>
    <row r="22" s="1" customFormat="1" ht="15.75" spans="1:13">
      <c r="A22" s="58"/>
      <c r="B22" s="61" t="str">
        <f>'LAP. SPB'!K207</f>
        <v>MOHAMAD NASIR, S.SiT, M.M.Tr</v>
      </c>
      <c r="C22" s="61"/>
      <c r="D22" s="3"/>
      <c r="E22" s="60"/>
      <c r="F22" s="3"/>
      <c r="G22" s="3"/>
      <c r="H22" s="3"/>
      <c r="I22" s="3"/>
      <c r="J22" s="58"/>
      <c r="K22" s="61" t="s">
        <v>483</v>
      </c>
      <c r="L22" s="3"/>
      <c r="M22" s="27"/>
    </row>
    <row r="23" s="1" customFormat="1" ht="15.75" spans="1:13">
      <c r="A23" s="58"/>
      <c r="B23" s="59" t="s">
        <v>469</v>
      </c>
      <c r="C23" s="59"/>
      <c r="D23" s="3"/>
      <c r="E23" s="60"/>
      <c r="F23" s="3"/>
      <c r="G23" s="3"/>
      <c r="H23" s="3"/>
      <c r="I23" s="3"/>
      <c r="J23" s="58"/>
      <c r="K23" s="59" t="s">
        <v>484</v>
      </c>
      <c r="L23" s="3"/>
      <c r="M23" s="27"/>
    </row>
    <row r="24" ht="15.75" spans="1:13">
      <c r="B24" s="59" t="str">
        <f>'LAP. SPB'!K209</f>
        <v>NIP. 19770223 200212 1 002</v>
      </c>
      <c r="C24" s="59"/>
      <c r="K24" s="59" t="s">
        <v>485</v>
      </c>
    </row>
  </sheetData>
  <mergeCells count="55">
    <mergeCell ref="A1:R1"/>
    <mergeCell ref="A2:R2"/>
    <mergeCell ref="A3:M3"/>
    <mergeCell ref="C5:K5"/>
    <mergeCell ref="C6:E6"/>
    <mergeCell ref="F6:G6"/>
    <mergeCell ref="H6:I6"/>
    <mergeCell ref="J6:K6"/>
    <mergeCell ref="A7:B7"/>
    <mergeCell ref="C7:E7"/>
    <mergeCell ref="F7:G7"/>
    <mergeCell ref="H7:I7"/>
    <mergeCell ref="J7:K7"/>
    <mergeCell ref="L7:M7"/>
    <mergeCell ref="C8:E8"/>
    <mergeCell ref="F8:G8"/>
    <mergeCell ref="H8:I8"/>
    <mergeCell ref="J8:K8"/>
    <mergeCell ref="L8:M8"/>
    <mergeCell ref="C9:E9"/>
    <mergeCell ref="F9:G9"/>
    <mergeCell ref="H9:I9"/>
    <mergeCell ref="J9:K9"/>
    <mergeCell ref="L9:M9"/>
    <mergeCell ref="C10:E10"/>
    <mergeCell ref="F10:G10"/>
    <mergeCell ref="H10:I10"/>
    <mergeCell ref="J10:K10"/>
    <mergeCell ref="L10:M10"/>
    <mergeCell ref="A11:B11"/>
    <mergeCell ref="C11:E11"/>
    <mergeCell ref="F11:G11"/>
    <mergeCell ref="H11:I11"/>
    <mergeCell ref="J11:K11"/>
    <mergeCell ref="L11:M11"/>
    <mergeCell ref="A12:B12"/>
    <mergeCell ref="C12:E12"/>
    <mergeCell ref="F12:G12"/>
    <mergeCell ref="H12:I12"/>
    <mergeCell ref="J12:K12"/>
    <mergeCell ref="L12:M12"/>
    <mergeCell ref="A13:B13"/>
    <mergeCell ref="C13:E13"/>
    <mergeCell ref="F13:G13"/>
    <mergeCell ref="H13:I13"/>
    <mergeCell ref="J13:K13"/>
    <mergeCell ref="L13:M13"/>
    <mergeCell ref="B16:C16"/>
    <mergeCell ref="B17:C17"/>
    <mergeCell ref="B18:C18"/>
    <mergeCell ref="B22:C22"/>
    <mergeCell ref="B23:C23"/>
    <mergeCell ref="B24:C24"/>
    <mergeCell ref="A5:B6"/>
    <mergeCell ref="L5:M6"/>
  </mergeCells>
  <printOptions horizontalCentered="1"/>
  <pageMargins left="0.196850393700787" right="0" top="0.511811023622047" bottom="0.511811023622047" header="0.275590551181102" footer="0.31496062992126"/>
  <pageSetup paperSize="10002" scale="85" orientation="landscape" useFirstPageNumber="1"/>
  <headerFooter>
    <oddHeader>&amp;CPage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Chart1</vt:lpstr>
      <vt:lpstr>LAP. SPB</vt:lpstr>
      <vt:lpstr>REKAP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ARIHARUNA</dc:creator>
  <cp:lastModifiedBy>Fais Achmad</cp:lastModifiedBy>
  <dcterms:created xsi:type="dcterms:W3CDTF">2015-09-11T05:32:00Z</dcterms:created>
  <cp:lastPrinted>2026-01-04T07:01:00Z</cp:lastPrinted>
  <dcterms:modified xsi:type="dcterms:W3CDTF">2026-03-11T14:18:55Z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89785279240440D59A9D0FFDF1602976_12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