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580" firstSheet="4" activeTab="6"/>
  </bookViews>
  <sheets>
    <sheet name="REKAP PENGELUARAN SPB 2026" sheetId="3" r:id="rId1"/>
    <sheet name="PELRA" sheetId="6" r:id="rId2"/>
    <sheet name="PERINTIS" sheetId="7" r:id="rId3"/>
    <sheet name="ANGKUTAN PENYEBRANGAN" sheetId="8" r:id="rId4"/>
    <sheet name="ANGKUTAN LAUT DALAM NEGERI" sheetId="4" r:id="rId5"/>
    <sheet name="ANGKUTAN LAUT LUAR NEGERI" sheetId="5" r:id="rId6"/>
    <sheet name="REKAP LAP. OPERASIONAL 2026" sheetId="9" r:id="rId7"/>
  </sheets>
  <definedNames>
    <definedName name="_xlnm._FilterDatabase" localSheetId="4" hidden="1">'ANGKUTAN LAUT DALAM NEGERI'!$B$1:$B$114</definedName>
    <definedName name="_xlnm._FilterDatabase" localSheetId="3" hidden="1">'ANGKUTAN PENYEBRANGAN'!$B$1:$B$114</definedName>
    <definedName name="_xlnm._FilterDatabase" localSheetId="1" hidden="1">PELRA!$B$1:$B$114</definedName>
    <definedName name="_xlnm._FilterDatabase" localSheetId="2" hidden="1">PERINTIS!$B$1:$B$114</definedName>
    <definedName name="_xlnm.Print_Area" localSheetId="6">'REKAP LAP. OPERASIONAL 2026'!$A$1:$U$21</definedName>
    <definedName name="_xlnm.Print_Area" localSheetId="0">'REKAP PENGELUARAN SPB 2026'!$A$1:$I$20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<sst xmlns="http://schemas.openxmlformats.org/spreadsheetml/2006/main" count="1360" uniqueCount="68">
  <si>
    <t>REKAPITULASI PENGELUARAN SPB</t>
  </si>
  <si>
    <t>UNIT PENYELENGGARA PELABUHAN KELAS III JAMPEA</t>
  </si>
  <si>
    <t>TAHUN 2026</t>
  </si>
  <si>
    <t>PELABUHAN JAMPEA</t>
  </si>
  <si>
    <t>NO</t>
  </si>
  <si>
    <t>BULAN</t>
  </si>
  <si>
    <t>JENIS / UKURAN KAPAL</t>
  </si>
  <si>
    <t>RUSAK / BATAL</t>
  </si>
  <si>
    <t>JUMLAH</t>
  </si>
  <si>
    <t>PPK. 27</t>
  </si>
  <si>
    <t>PPK. 29</t>
  </si>
  <si>
    <t>KLM</t>
  </si>
  <si>
    <t>KL</t>
  </si>
  <si>
    <t>PI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</si>
  <si>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</si>
  <si>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</si>
  <si>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</si>
  <si>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</si>
  <si>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</si>
  <si>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</si>
  <si>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</si>
  <si>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</si>
  <si>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</si>
  <si>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</si>
  <si>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</si>
  <si>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</si>
  <si>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</si>
  <si>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PELABUHAN UJUNG</t>
  </si>
  <si>
    <t>PELABUHAN KAYUADI</t>
  </si>
  <si>
    <t>PELABUHAN BONERATE</t>
  </si>
  <si>
    <t>PELABUHAN KALAOTOA</t>
  </si>
  <si>
    <t>PELABUHAN JINATO</t>
  </si>
  <si>
    <t xml:space="preserve">JUMLAH TOTAL </t>
  </si>
  <si>
    <t>PELAYARAN RAKYAT (PELRA)</t>
  </si>
  <si>
    <t>JUMLAH KAPAL</t>
  </si>
  <si>
    <t>ISI KOTOR</t>
  </si>
  <si>
    <t>BARANG ( TON / M3 )</t>
  </si>
  <si>
    <t>HEWAN</t>
  </si>
  <si>
    <t>PENUMPANG</t>
  </si>
  <si>
    <t>BONGKAR</t>
  </si>
  <si>
    <t>MUAT</t>
  </si>
  <si>
    <t>CARGO</t>
  </si>
  <si>
    <t>CURAH</t>
  </si>
  <si>
    <t>TURUN</t>
  </si>
  <si>
    <t>NAIK</t>
  </si>
  <si>
    <t>LANJUTAN</t>
  </si>
  <si>
    <t>JUMLAH TOTAL</t>
  </si>
  <si>
    <t>PERINTIS</t>
  </si>
  <si>
    <t>MOTOR</t>
  </si>
  <si>
    <t>ANGKUTAN PENYEBRANGAN</t>
  </si>
  <si>
    <t>KENDARAAN</t>
  </si>
  <si>
    <t>MOBIL</t>
  </si>
  <si>
    <t>ANGKUTAN LAUT DALAM NEGERI</t>
  </si>
  <si>
    <t>ANGKUTAN LAUT LUAR NEGERI</t>
  </si>
  <si>
    <t xml:space="preserve">REKAPITULASI KEGIATAN OPERASIONAL </t>
  </si>
  <si>
    <t>JENIS PELAYARAN / JUMLAH KUNJUNGAN KAPAL</t>
  </si>
  <si>
    <t xml:space="preserve">JUMLAH </t>
  </si>
  <si>
    <t>LUAR NEGERI</t>
  </si>
  <si>
    <t>DALAM NEGERI</t>
  </si>
  <si>
    <t>PELRA</t>
  </si>
  <si>
    <t>FERRY</t>
  </si>
  <si>
    <t>KAPAL</t>
  </si>
  <si>
    <t>GT.</t>
  </si>
  <si>
    <t>BARANG TON / M3</t>
  </si>
  <si>
    <t>HEWAN EKOR</t>
  </si>
  <si>
    <t>KENDARAAN / UNIT</t>
  </si>
  <si>
    <t>( Orang)</t>
  </si>
  <si>
    <t>( Orang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</si>
</sst>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F400]h:mm:ss\ AM/PM"/>
  </numFmts>
  <fonts count="30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theme="1"/>
      <name val="Century"/>
      <charset val="134"/>
    </font>
    <font>
      <b/>
      <sz val="11"/>
      <color theme="1"/>
      <name val="Arial Narrow"/>
      <charset val="134"/>
    </font>
    <font>
      <b/>
      <sz val="8"/>
      <color theme="1"/>
      <name val="Arial Narrow"/>
      <charset val="134"/>
    </font>
    <font>
      <sz val="8"/>
      <color theme="1"/>
      <name val="Arial Narrow"/>
      <charset val="134"/>
    </font>
    <font>
      <b/>
      <sz val="9"/>
      <color theme="1"/>
      <name val="Arial Narrow"/>
      <charset val="134"/>
    </font>
    <font>
      <sz val="9"/>
      <color theme="1"/>
      <name val="Arial Narrow"/>
      <charset val="134"/>
    </font>
    <font>
      <b/>
      <sz val="12"/>
      <color theme="1"/>
      <name val="Century"/>
      <charset val="134"/>
    </font>
    <font>
      <b/>
      <u/>
      <sz val="11"/>
      <color theme="1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4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8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0" borderId="4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0" applyNumberFormat="0" applyAlignment="0" applyProtection="0">
      <alignment vertical="center"/>
    </xf>
    <xf numFmtId="0" fontId="20" fillId="11" borderId="51" applyNumberFormat="0" applyAlignment="0" applyProtection="0">
      <alignment vertical="center"/>
    </xf>
    <xf numFmtId="0" fontId="21" fillId="11" borderId="50" applyNumberFormat="0" applyAlignment="0" applyProtection="0">
      <alignment vertical="center"/>
    </xf>
    <xf numFmtId="0" fontId="22" fillId="12" borderId="52" applyNumberFormat="0" applyAlignment="0" applyProtection="0">
      <alignment vertical="center"/>
    </xf>
    <xf numFmtId="0" fontId="23" fillId="0" borderId="53" applyNumberFormat="0" applyFill="0" applyAlignment="0" applyProtection="0">
      <alignment vertical="center"/>
    </xf>
    <xf numFmtId="0" fontId="24" fillId="0" borderId="5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180" fontId="4" fillId="3" borderId="5" xfId="0" applyNumberFormat="1" applyFont="1" applyFill="1" applyBorder="1" applyAlignment="1">
      <alignment horizontal="center" vertical="center"/>
    </xf>
    <xf numFmtId="180" fontId="4" fillId="3" borderId="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180" fontId="4" fillId="3" borderId="9" xfId="0" applyNumberFormat="1" applyFont="1" applyFill="1" applyBorder="1" applyAlignment="1">
      <alignment horizontal="center" vertical="center"/>
    </xf>
    <xf numFmtId="180" fontId="4" fillId="3" borderId="10" xfId="0" applyNumberFormat="1" applyFont="1" applyFill="1" applyBorder="1" applyAlignment="1">
      <alignment horizontal="center" vertical="center" wrapText="1"/>
    </xf>
    <xf numFmtId="180" fontId="4" fillId="3" borderId="10" xfId="0" applyNumberFormat="1" applyFont="1" applyFill="1" applyBorder="1" applyAlignment="1">
      <alignment horizontal="center" vertical="center"/>
    </xf>
    <xf numFmtId="180" fontId="4" fillId="3" borderId="11" xfId="0" applyNumberFormat="1" applyFont="1" applyFill="1" applyBorder="1" applyAlignment="1">
      <alignment horizontal="center" vertical="center"/>
    </xf>
    <xf numFmtId="180" fontId="4" fillId="3" borderId="12" xfId="0" applyNumberFormat="1" applyFont="1" applyFill="1" applyBorder="1" applyAlignment="1">
      <alignment horizontal="center" vertical="center"/>
    </xf>
    <xf numFmtId="180" fontId="4" fillId="3" borderId="13" xfId="0" applyNumberFormat="1" applyFont="1" applyFill="1" applyBorder="1" applyAlignment="1">
      <alignment horizontal="center" vertical="center"/>
    </xf>
    <xf numFmtId="180" fontId="4" fillId="3" borderId="14" xfId="0" applyNumberFormat="1" applyFont="1" applyFill="1" applyBorder="1" applyAlignment="1">
      <alignment horizontal="center" vertical="center"/>
    </xf>
    <xf numFmtId="180" fontId="4" fillId="3" borderId="15" xfId="0" applyNumberFormat="1" applyFont="1" applyFill="1" applyBorder="1" applyAlignment="1">
      <alignment horizontal="center" vertical="center"/>
    </xf>
    <xf numFmtId="180" fontId="4" fillId="3" borderId="16" xfId="0" applyNumberFormat="1" applyFont="1" applyFill="1" applyBorder="1" applyAlignment="1">
      <alignment horizontal="center" vertical="center" wrapText="1"/>
    </xf>
    <xf numFmtId="180" fontId="4" fillId="3" borderId="16" xfId="0" applyNumberFormat="1" applyFont="1" applyFill="1" applyBorder="1" applyAlignment="1">
      <alignment horizontal="center" vertical="center"/>
    </xf>
    <xf numFmtId="180" fontId="4" fillId="3" borderId="17" xfId="0" applyNumberFormat="1" applyFont="1" applyFill="1" applyBorder="1" applyAlignment="1">
      <alignment horizontal="center" vertical="center"/>
    </xf>
    <xf numFmtId="180" fontId="4" fillId="3" borderId="18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" fontId="3" fillId="3" borderId="29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76" fontId="1" fillId="0" borderId="0" xfId="1" applyFont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3" fillId="4" borderId="29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108"/>
  <sheetViews>
    <sheetView zoomScale="140" zoomScaleNormal="140" showWhiteSpace="0" workbookViewId="0">
      <selection activeCell="G41" sqref="G41"/>
    </sheetView>
  </sheetViews>
  <sheetFormatPr defaultColWidth="9" defaultRowHeight="13.5"/>
  <cols>
    <col min="1" max="1" width="6.88571428571429" style="1" customWidth="1"/>
    <col min="2" max="2" width="24" style="1" customWidth="1"/>
    <col min="3" max="7" width="15.4380952380952" style="1" customWidth="1"/>
    <col min="8" max="8" width="12" style="1" customWidth="1"/>
    <col min="9" max="9" width="15.4380952380952" style="1" customWidth="1"/>
    <col min="10" max="16384" width="9" style="1"/>
  </cols>
  <sheetData>
    <row r="1" ht="14.25" spans="1:9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ht="14.25" spans="1:9">
      <c r="A2" s="55" t="s">
        <v>1</v>
      </c>
      <c r="B2" s="55"/>
      <c r="C2" s="55"/>
      <c r="D2" s="55"/>
      <c r="E2" s="55"/>
      <c r="F2" s="55"/>
      <c r="G2" s="55"/>
      <c r="H2" s="55"/>
      <c r="I2" s="55"/>
    </row>
    <row r="3" ht="14.25" spans="1:9">
      <c r="A3" s="55" t="s">
        <v>2</v>
      </c>
      <c r="B3" s="55"/>
      <c r="C3" s="55"/>
      <c r="D3" s="55"/>
      <c r="E3" s="55"/>
      <c r="F3" s="55"/>
      <c r="G3" s="55"/>
      <c r="H3" s="55"/>
      <c r="I3" s="55"/>
    </row>
    <row r="4" ht="15" spans="1:9">
      <c r="A4" s="55"/>
      <c r="B4" s="55"/>
      <c r="C4" s="55"/>
      <c r="D4" s="55"/>
      <c r="E4" s="55"/>
      <c r="F4" s="55"/>
      <c r="G4" s="55"/>
      <c r="H4" s="55"/>
      <c r="I4" s="55"/>
    </row>
    <row r="5" ht="15" spans="1:9">
      <c r="A5" s="123" t="s">
        <v>3</v>
      </c>
      <c r="B5" s="124"/>
      <c r="C5" s="124"/>
      <c r="D5" s="124"/>
      <c r="E5" s="124"/>
      <c r="F5" s="124"/>
      <c r="G5" s="124"/>
      <c r="H5" s="124"/>
      <c r="I5" s="125"/>
    </row>
    <row r="6" ht="23.25" customHeight="1" spans="1:9">
      <c r="A6" s="56" t="s">
        <v>4</v>
      </c>
      <c r="B6" s="57" t="s">
        <v>5</v>
      </c>
      <c r="C6" s="57" t="s">
        <v>6</v>
      </c>
      <c r="D6" s="57"/>
      <c r="E6" s="57"/>
      <c r="F6" s="57"/>
      <c r="G6" s="57"/>
      <c r="H6" s="126" t="s">
        <v>7</v>
      </c>
      <c r="I6" s="127" t="s">
        <v>8</v>
      </c>
    </row>
    <row r="7" ht="23.25" customHeight="1" spans="1:9">
      <c r="A7" s="72"/>
      <c r="B7" s="73"/>
      <c r="C7" s="73" t="s">
        <v>9</v>
      </c>
      <c r="D7" s="73" t="s">
        <v>10</v>
      </c>
      <c r="E7" s="73" t="s">
        <v>11</v>
      </c>
      <c r="F7" s="73" t="s">
        <v>12</v>
      </c>
      <c r="G7" s="73" t="s">
        <v>13</v>
      </c>
      <c r="H7" s="128"/>
      <c r="I7" s="76"/>
    </row>
    <row r="8" ht="14.25" spans="1:9">
      <c r="A8" s="77">
        <v>1</v>
      </c>
      <c r="B8" s="78" t="s">
        <v>14</v>
      </c>
      <c r="C8" s="79">
        <v>28</v>
      </c>
      <c r="D8" s="79">
        <v>2</v>
      </c>
      <c r="E8" s="79">
        <v>8</v>
      </c>
      <c r="F8" s="79">
        <v>0</v>
      </c>
      <c r="G8" s="79">
        <v>0</v>
      </c>
      <c r="H8" s="79">
        <v>0</v>
      </c>
      <c r="I8" s="81">
        <f t="shared" ref="I8:I19" si="0">SUM(C8:H8)</f>
        <v>38</v>
      </c>
    </row>
    <row r="9" spans="1:9">
      <c r="A9" s="82">
        <v>2</v>
      </c>
      <c r="B9" s="83" t="s">
        <v>15</v>
      </c>
      <c r="C9" s="84">
        <v>37</v>
      </c>
      <c r="D9" s="84">
        <v>6</v>
      </c>
      <c r="E9" s="84">
        <v>12</v>
      </c>
      <c r="F9" s="84">
        <v>0</v>
      </c>
      <c r="G9" s="84">
        <v>0</v>
      </c>
      <c r="H9" s="84">
        <v>0</v>
      </c>
      <c r="I9" s="103">
        <f t="shared" si="0"/>
        <v>55</v>
      </c>
    </row>
    <row r="10" spans="1:9">
      <c r="A10" s="82">
        <v>3</v>
      </c>
      <c r="B10" s="83" t="s">
        <v>16</v>
      </c>
      <c r="C10" s="84"/>
      <c r="D10" s="84"/>
      <c r="E10" s="84"/>
      <c r="F10" s="84">
        <v>0</v>
      </c>
      <c r="G10" s="84">
        <v>0</v>
      </c>
      <c r="H10" s="84">
        <v>0</v>
      </c>
      <c r="I10" s="103">
        <f t="shared" si="0"/>
        <v>0</v>
      </c>
    </row>
    <row r="11" spans="1:9">
      <c r="A11" s="82">
        <v>4</v>
      </c>
      <c r="B11" s="83" t="s">
        <v>17</v>
      </c>
      <c r="C11" s="84"/>
      <c r="D11" s="84"/>
      <c r="E11" s="84"/>
      <c r="F11" s="84">
        <v>0</v>
      </c>
      <c r="G11" s="84">
        <v>0</v>
      </c>
      <c r="H11" s="84">
        <v>0</v>
      </c>
      <c r="I11" s="103">
        <f t="shared" si="0"/>
        <v>0</v>
      </c>
    </row>
    <row r="12" spans="1:9">
      <c r="A12" s="82">
        <v>5</v>
      </c>
      <c r="B12" s="83" t="s">
        <v>18</v>
      </c>
      <c r="C12" s="84"/>
      <c r="D12" s="84"/>
      <c r="E12" s="84"/>
      <c r="F12" s="84">
        <v>0</v>
      </c>
      <c r="G12" s="84">
        <v>0</v>
      </c>
      <c r="H12" s="84">
        <v>0</v>
      </c>
      <c r="I12" s="103">
        <f t="shared" si="0"/>
        <v>0</v>
      </c>
    </row>
    <row r="13" spans="1:9">
      <c r="A13" s="82">
        <v>6</v>
      </c>
      <c r="B13" s="83" t="s">
        <v>19</v>
      </c>
      <c r="C13" s="84"/>
      <c r="D13" s="84"/>
      <c r="E13" s="84"/>
      <c r="F13" s="84">
        <v>0</v>
      </c>
      <c r="G13" s="84">
        <v>0</v>
      </c>
      <c r="H13" s="84">
        <v>0</v>
      </c>
      <c r="I13" s="103">
        <f t="shared" si="0"/>
        <v>0</v>
      </c>
    </row>
    <row r="14" spans="1:9">
      <c r="A14" s="82">
        <v>7</v>
      </c>
      <c r="B14" s="83" t="s">
        <v>20</v>
      </c>
      <c r="C14" s="84"/>
      <c r="D14" s="84"/>
      <c r="E14" s="84"/>
      <c r="F14" s="84">
        <v>0</v>
      </c>
      <c r="G14" s="84">
        <v>0</v>
      </c>
      <c r="H14" s="84">
        <v>0</v>
      </c>
      <c r="I14" s="103">
        <f t="shared" si="0"/>
        <v>0</v>
      </c>
    </row>
    <row r="15" spans="1:9">
      <c r="A15" s="82">
        <v>8</v>
      </c>
      <c r="B15" s="83" t="s">
        <v>21</v>
      </c>
      <c r="C15" s="84"/>
      <c r="D15" s="84"/>
      <c r="E15" s="84"/>
      <c r="F15" s="84">
        <v>0</v>
      </c>
      <c r="G15" s="84">
        <v>0</v>
      </c>
      <c r="H15" s="84">
        <v>0</v>
      </c>
      <c r="I15" s="103">
        <f t="shared" si="0"/>
        <v>0</v>
      </c>
    </row>
    <row r="16" spans="1:9">
      <c r="A16" s="82">
        <v>9</v>
      </c>
      <c r="B16" s="83" t="s">
        <v>22</v>
      </c>
      <c r="C16" s="84"/>
      <c r="D16" s="84"/>
      <c r="E16" s="84"/>
      <c r="F16" s="84">
        <v>0</v>
      </c>
      <c r="G16" s="84">
        <v>0</v>
      </c>
      <c r="H16" s="84">
        <v>0</v>
      </c>
      <c r="I16" s="103">
        <f t="shared" si="0"/>
        <v>0</v>
      </c>
    </row>
    <row r="17" spans="1:9">
      <c r="A17" s="82">
        <v>10</v>
      </c>
      <c r="B17" s="83" t="s">
        <v>23</v>
      </c>
      <c r="C17" s="84"/>
      <c r="D17" s="84"/>
      <c r="E17" s="84"/>
      <c r="F17" s="84">
        <v>0</v>
      </c>
      <c r="G17" s="84">
        <v>0</v>
      </c>
      <c r="H17" s="84">
        <v>0</v>
      </c>
      <c r="I17" s="103">
        <f t="shared" si="0"/>
        <v>0</v>
      </c>
    </row>
    <row r="18" spans="1:9">
      <c r="A18" s="82">
        <v>11</v>
      </c>
      <c r="B18" s="83" t="s">
        <v>24</v>
      </c>
      <c r="C18" s="84"/>
      <c r="D18" s="84"/>
      <c r="E18" s="84"/>
      <c r="F18" s="84">
        <v>0</v>
      </c>
      <c r="G18" s="84">
        <v>0</v>
      </c>
      <c r="H18" s="84">
        <v>0</v>
      </c>
      <c r="I18" s="103">
        <f t="shared" si="0"/>
        <v>0</v>
      </c>
    </row>
    <row r="19" ht="14.25" spans="1:9">
      <c r="A19" s="85">
        <v>12</v>
      </c>
      <c r="B19" s="86" t="s">
        <v>25</v>
      </c>
      <c r="C19" s="121"/>
      <c r="D19" s="121"/>
      <c r="E19" s="121"/>
      <c r="F19" s="121">
        <v>0</v>
      </c>
      <c r="G19" s="121">
        <v>0</v>
      </c>
      <c r="H19" s="121">
        <v>0</v>
      </c>
      <c r="I19" s="103">
        <f t="shared" si="0"/>
        <v>0</v>
      </c>
    </row>
    <row r="20" ht="17.25" customHeight="1" spans="1:9">
      <c r="A20" s="87" t="s">
        <v>26</v>
      </c>
      <c r="B20" s="88"/>
      <c r="C20" s="88">
        <f t="shared" ref="C20:I20" si="1">SUM(C8:C19)</f>
        <v>65</v>
      </c>
      <c r="D20" s="88">
        <f t="shared" si="1"/>
        <v>8</v>
      </c>
      <c r="E20" s="88">
        <f t="shared" si="1"/>
        <v>20</v>
      </c>
      <c r="F20" s="88">
        <f t="shared" si="1"/>
        <v>0</v>
      </c>
      <c r="G20" s="88">
        <f t="shared" si="1"/>
        <v>0</v>
      </c>
      <c r="H20" s="88">
        <f t="shared" si="1"/>
        <v>0</v>
      </c>
      <c r="I20" s="90">
        <f t="shared" si="1"/>
        <v>93</v>
      </c>
    </row>
    <row r="21" ht="17.25" customHeight="1" spans="1:9">
      <c r="A21" s="129"/>
      <c r="B21" s="130"/>
      <c r="C21" s="130"/>
      <c r="D21" s="130"/>
      <c r="E21" s="130"/>
      <c r="F21" s="130"/>
      <c r="G21" s="130"/>
      <c r="H21" s="130"/>
      <c r="I21" s="130"/>
    </row>
    <row r="22" ht="15" spans="1:9">
      <c r="A22" s="123" t="s">
        <v>27</v>
      </c>
      <c r="B22" s="124"/>
      <c r="C22" s="124"/>
      <c r="D22" s="124"/>
      <c r="E22" s="124"/>
      <c r="F22" s="124"/>
      <c r="G22" s="124"/>
      <c r="H22" s="124"/>
      <c r="I22" s="125"/>
    </row>
    <row r="23" ht="17.25" customHeight="1" spans="1:9">
      <c r="A23" s="56" t="s">
        <v>4</v>
      </c>
      <c r="B23" s="57" t="s">
        <v>5</v>
      </c>
      <c r="C23" s="57" t="s">
        <v>6</v>
      </c>
      <c r="D23" s="57"/>
      <c r="E23" s="57"/>
      <c r="F23" s="57"/>
      <c r="G23" s="57"/>
      <c r="H23" s="126" t="s">
        <v>7</v>
      </c>
      <c r="I23" s="127" t="s">
        <v>8</v>
      </c>
    </row>
    <row r="24" ht="14.25" spans="1:9">
      <c r="A24" s="72"/>
      <c r="B24" s="73"/>
      <c r="C24" s="73" t="s">
        <v>9</v>
      </c>
      <c r="D24" s="73" t="s">
        <v>10</v>
      </c>
      <c r="E24" s="73" t="s">
        <v>11</v>
      </c>
      <c r="F24" s="73" t="s">
        <v>12</v>
      </c>
      <c r="G24" s="73" t="s">
        <v>13</v>
      </c>
      <c r="H24" s="128"/>
      <c r="I24" s="76"/>
    </row>
    <row r="25" ht="14.25" spans="1:9">
      <c r="A25" s="77">
        <v>1</v>
      </c>
      <c r="B25" s="78" t="s">
        <v>14</v>
      </c>
      <c r="C25" s="79">
        <v>0</v>
      </c>
      <c r="D25" s="79">
        <v>0</v>
      </c>
      <c r="E25" s="79">
        <v>1</v>
      </c>
      <c r="F25" s="79">
        <v>0</v>
      </c>
      <c r="G25" s="79">
        <v>0</v>
      </c>
      <c r="H25" s="79">
        <v>0</v>
      </c>
      <c r="I25" s="81">
        <f t="shared" ref="I25:I36" si="2">SUM(C25:H25)</f>
        <v>1</v>
      </c>
    </row>
    <row r="26" spans="1:9">
      <c r="A26" s="82">
        <v>2</v>
      </c>
      <c r="B26" s="83" t="s">
        <v>15</v>
      </c>
      <c r="C26" s="84">
        <v>0</v>
      </c>
      <c r="D26" s="84">
        <v>0</v>
      </c>
      <c r="E26" s="84">
        <v>3</v>
      </c>
      <c r="F26" s="84">
        <v>0</v>
      </c>
      <c r="G26" s="84">
        <v>0</v>
      </c>
      <c r="H26" s="84">
        <v>0</v>
      </c>
      <c r="I26" s="103">
        <f t="shared" si="2"/>
        <v>3</v>
      </c>
    </row>
    <row r="27" spans="1:9">
      <c r="A27" s="82">
        <v>3</v>
      </c>
      <c r="B27" s="83" t="s">
        <v>16</v>
      </c>
      <c r="C27" s="84">
        <v>0</v>
      </c>
      <c r="D27" s="84">
        <v>0</v>
      </c>
      <c r="E27" s="84"/>
      <c r="F27" s="84">
        <v>0</v>
      </c>
      <c r="G27" s="84">
        <v>0</v>
      </c>
      <c r="H27" s="84">
        <v>0</v>
      </c>
      <c r="I27" s="103">
        <f t="shared" si="2"/>
        <v>0</v>
      </c>
    </row>
    <row r="28" spans="1:9">
      <c r="A28" s="82">
        <v>4</v>
      </c>
      <c r="B28" s="83" t="s">
        <v>17</v>
      </c>
      <c r="C28" s="84">
        <v>0</v>
      </c>
      <c r="D28" s="84">
        <v>0</v>
      </c>
      <c r="E28" s="84"/>
      <c r="F28" s="84">
        <v>0</v>
      </c>
      <c r="G28" s="84">
        <v>0</v>
      </c>
      <c r="H28" s="84">
        <v>0</v>
      </c>
      <c r="I28" s="103">
        <f t="shared" si="2"/>
        <v>0</v>
      </c>
    </row>
    <row r="29" spans="1:9">
      <c r="A29" s="82">
        <v>5</v>
      </c>
      <c r="B29" s="83" t="s">
        <v>18</v>
      </c>
      <c r="C29" s="84">
        <v>0</v>
      </c>
      <c r="D29" s="84">
        <v>0</v>
      </c>
      <c r="E29" s="84"/>
      <c r="F29" s="84">
        <v>0</v>
      </c>
      <c r="G29" s="84">
        <v>0</v>
      </c>
      <c r="H29" s="84">
        <v>0</v>
      </c>
      <c r="I29" s="103">
        <f t="shared" si="2"/>
        <v>0</v>
      </c>
    </row>
    <row r="30" spans="1:9">
      <c r="A30" s="82">
        <v>6</v>
      </c>
      <c r="B30" s="83" t="s">
        <v>19</v>
      </c>
      <c r="C30" s="84">
        <v>0</v>
      </c>
      <c r="D30" s="84">
        <v>0</v>
      </c>
      <c r="E30" s="84"/>
      <c r="F30" s="84">
        <v>0</v>
      </c>
      <c r="G30" s="84">
        <v>0</v>
      </c>
      <c r="H30" s="84">
        <v>0</v>
      </c>
      <c r="I30" s="103">
        <f t="shared" si="2"/>
        <v>0</v>
      </c>
    </row>
    <row r="31" spans="1:9">
      <c r="A31" s="82">
        <v>7</v>
      </c>
      <c r="B31" s="83" t="s">
        <v>20</v>
      </c>
      <c r="C31" s="84">
        <v>0</v>
      </c>
      <c r="D31" s="84">
        <v>0</v>
      </c>
      <c r="E31" s="84"/>
      <c r="F31" s="84">
        <v>0</v>
      </c>
      <c r="G31" s="84">
        <v>0</v>
      </c>
      <c r="H31" s="84">
        <v>0</v>
      </c>
      <c r="I31" s="103">
        <f t="shared" si="2"/>
        <v>0</v>
      </c>
    </row>
    <row r="32" spans="1:9">
      <c r="A32" s="82">
        <v>8</v>
      </c>
      <c r="B32" s="83" t="s">
        <v>21</v>
      </c>
      <c r="C32" s="84">
        <v>0</v>
      </c>
      <c r="D32" s="84">
        <v>0</v>
      </c>
      <c r="E32" s="84"/>
      <c r="F32" s="84">
        <v>0</v>
      </c>
      <c r="G32" s="84">
        <v>0</v>
      </c>
      <c r="H32" s="84">
        <v>0</v>
      </c>
      <c r="I32" s="103">
        <f t="shared" si="2"/>
        <v>0</v>
      </c>
    </row>
    <row r="33" spans="1:9">
      <c r="A33" s="82">
        <v>9</v>
      </c>
      <c r="B33" s="83" t="s">
        <v>22</v>
      </c>
      <c r="C33" s="84">
        <v>0</v>
      </c>
      <c r="D33" s="84">
        <v>0</v>
      </c>
      <c r="E33" s="84"/>
      <c r="F33" s="84">
        <v>0</v>
      </c>
      <c r="G33" s="84">
        <v>0</v>
      </c>
      <c r="H33" s="84">
        <v>0</v>
      </c>
      <c r="I33" s="103">
        <f t="shared" si="2"/>
        <v>0</v>
      </c>
    </row>
    <row r="34" spans="1:9">
      <c r="A34" s="82">
        <v>10</v>
      </c>
      <c r="B34" s="83" t="s">
        <v>23</v>
      </c>
      <c r="C34" s="84">
        <v>0</v>
      </c>
      <c r="D34" s="84">
        <v>0</v>
      </c>
      <c r="E34" s="84"/>
      <c r="F34" s="84">
        <v>0</v>
      </c>
      <c r="G34" s="84">
        <v>0</v>
      </c>
      <c r="H34" s="84">
        <v>0</v>
      </c>
      <c r="I34" s="103">
        <f t="shared" si="2"/>
        <v>0</v>
      </c>
    </row>
    <row r="35" spans="1:9">
      <c r="A35" s="82">
        <v>11</v>
      </c>
      <c r="B35" s="83" t="s">
        <v>24</v>
      </c>
      <c r="C35" s="84">
        <v>0</v>
      </c>
      <c r="D35" s="84">
        <v>0</v>
      </c>
      <c r="E35" s="84"/>
      <c r="F35" s="84">
        <v>0</v>
      </c>
      <c r="G35" s="84">
        <v>0</v>
      </c>
      <c r="H35" s="84">
        <v>0</v>
      </c>
      <c r="I35" s="103">
        <f t="shared" si="2"/>
        <v>0</v>
      </c>
    </row>
    <row r="36" ht="14.25" spans="1:9">
      <c r="A36" s="85">
        <v>12</v>
      </c>
      <c r="B36" s="86" t="s">
        <v>25</v>
      </c>
      <c r="C36" s="121">
        <v>0</v>
      </c>
      <c r="D36" s="121">
        <v>0</v>
      </c>
      <c r="E36" s="121"/>
      <c r="F36" s="121">
        <v>0</v>
      </c>
      <c r="G36" s="121">
        <v>0</v>
      </c>
      <c r="H36" s="121">
        <v>0</v>
      </c>
      <c r="I36" s="103">
        <f t="shared" si="2"/>
        <v>0</v>
      </c>
    </row>
    <row r="37" ht="15" spans="1:9">
      <c r="A37" s="87" t="s">
        <v>26</v>
      </c>
      <c r="B37" s="88"/>
      <c r="C37" s="88">
        <f t="shared" ref="C37:I37" si="3">SUM(C25:C36)</f>
        <v>0</v>
      </c>
      <c r="D37" s="88">
        <f t="shared" si="3"/>
        <v>0</v>
      </c>
      <c r="E37" s="88">
        <f t="shared" si="3"/>
        <v>4</v>
      </c>
      <c r="F37" s="88">
        <f t="shared" si="3"/>
        <v>0</v>
      </c>
      <c r="G37" s="88">
        <f t="shared" si="3"/>
        <v>0</v>
      </c>
      <c r="H37" s="88">
        <f t="shared" si="3"/>
        <v>0</v>
      </c>
      <c r="I37" s="90">
        <f t="shared" si="3"/>
        <v>4</v>
      </c>
    </row>
    <row r="38" ht="15"/>
    <row r="39" ht="15" spans="1:9">
      <c r="A39" s="123" t="s">
        <v>28</v>
      </c>
      <c r="B39" s="124"/>
      <c r="C39" s="124"/>
      <c r="D39" s="124"/>
      <c r="E39" s="124"/>
      <c r="F39" s="124"/>
      <c r="G39" s="124"/>
      <c r="H39" s="124"/>
      <c r="I39" s="125"/>
    </row>
    <row r="40" ht="14.25" spans="1:9">
      <c r="A40" s="56" t="s">
        <v>4</v>
      </c>
      <c r="B40" s="57" t="s">
        <v>5</v>
      </c>
      <c r="C40" s="57" t="s">
        <v>6</v>
      </c>
      <c r="D40" s="57"/>
      <c r="E40" s="57"/>
      <c r="F40" s="57"/>
      <c r="G40" s="57"/>
      <c r="H40" s="126" t="s">
        <v>7</v>
      </c>
      <c r="I40" s="127" t="s">
        <v>8</v>
      </c>
    </row>
    <row r="41" ht="14.25" spans="1:9">
      <c r="A41" s="72"/>
      <c r="B41" s="73"/>
      <c r="C41" s="73" t="s">
        <v>9</v>
      </c>
      <c r="D41" s="73" t="s">
        <v>10</v>
      </c>
      <c r="E41" s="73" t="s">
        <v>11</v>
      </c>
      <c r="F41" s="73" t="s">
        <v>12</v>
      </c>
      <c r="G41" s="73" t="s">
        <v>13</v>
      </c>
      <c r="H41" s="128"/>
      <c r="I41" s="76"/>
    </row>
    <row r="42" ht="14.25" spans="1:9">
      <c r="A42" s="77">
        <v>1</v>
      </c>
      <c r="B42" s="78" t="s">
        <v>14</v>
      </c>
      <c r="C42" s="79">
        <v>12</v>
      </c>
      <c r="D42" s="79">
        <v>0</v>
      </c>
      <c r="E42" s="79">
        <v>3</v>
      </c>
      <c r="F42" s="79">
        <v>0</v>
      </c>
      <c r="G42" s="79">
        <v>0</v>
      </c>
      <c r="H42" s="79">
        <v>0</v>
      </c>
      <c r="I42" s="81">
        <f t="shared" ref="I42:I53" si="4">SUM(C42:H42)</f>
        <v>15</v>
      </c>
    </row>
    <row r="43" spans="1:9">
      <c r="A43" s="82">
        <v>2</v>
      </c>
      <c r="B43" s="83" t="s">
        <v>15</v>
      </c>
      <c r="C43" s="84">
        <v>18</v>
      </c>
      <c r="D43" s="84">
        <v>0</v>
      </c>
      <c r="E43" s="84">
        <v>3</v>
      </c>
      <c r="F43" s="84">
        <v>0</v>
      </c>
      <c r="G43" s="84">
        <v>0</v>
      </c>
      <c r="H43" s="84">
        <v>0</v>
      </c>
      <c r="I43" s="103">
        <f t="shared" si="4"/>
        <v>21</v>
      </c>
    </row>
    <row r="44" spans="1:9">
      <c r="A44" s="82">
        <v>3</v>
      </c>
      <c r="B44" s="83" t="s">
        <v>16</v>
      </c>
      <c r="C44" s="84"/>
      <c r="D44" s="84"/>
      <c r="E44" s="84"/>
      <c r="F44" s="84">
        <v>0</v>
      </c>
      <c r="G44" s="84">
        <v>0</v>
      </c>
      <c r="H44" s="84">
        <v>0</v>
      </c>
      <c r="I44" s="103">
        <f t="shared" si="4"/>
        <v>0</v>
      </c>
    </row>
    <row r="45" spans="1:9">
      <c r="A45" s="82">
        <v>4</v>
      </c>
      <c r="B45" s="83" t="s">
        <v>17</v>
      </c>
      <c r="C45" s="84"/>
      <c r="D45" s="84"/>
      <c r="E45" s="84"/>
      <c r="F45" s="84">
        <v>0</v>
      </c>
      <c r="G45" s="84">
        <v>0</v>
      </c>
      <c r="H45" s="84">
        <v>0</v>
      </c>
      <c r="I45" s="103">
        <f t="shared" si="4"/>
        <v>0</v>
      </c>
    </row>
    <row r="46" spans="1:9">
      <c r="A46" s="82">
        <v>5</v>
      </c>
      <c r="B46" s="83" t="s">
        <v>18</v>
      </c>
      <c r="C46" s="84"/>
      <c r="D46" s="84"/>
      <c r="E46" s="84"/>
      <c r="F46" s="84">
        <v>0</v>
      </c>
      <c r="G46" s="84">
        <v>0</v>
      </c>
      <c r="H46" s="84">
        <v>0</v>
      </c>
      <c r="I46" s="103">
        <f t="shared" si="4"/>
        <v>0</v>
      </c>
    </row>
    <row r="47" spans="1:9">
      <c r="A47" s="82">
        <v>6</v>
      </c>
      <c r="B47" s="83" t="s">
        <v>19</v>
      </c>
      <c r="C47" s="84"/>
      <c r="D47" s="84"/>
      <c r="E47" s="84"/>
      <c r="F47" s="84">
        <v>0</v>
      </c>
      <c r="G47" s="84">
        <v>0</v>
      </c>
      <c r="H47" s="84">
        <v>0</v>
      </c>
      <c r="I47" s="103">
        <f t="shared" si="4"/>
        <v>0</v>
      </c>
    </row>
    <row r="48" spans="1:9">
      <c r="A48" s="82">
        <v>7</v>
      </c>
      <c r="B48" s="83" t="s">
        <v>20</v>
      </c>
      <c r="C48" s="84"/>
      <c r="D48" s="84"/>
      <c r="E48" s="84"/>
      <c r="F48" s="84">
        <v>0</v>
      </c>
      <c r="G48" s="84">
        <v>0</v>
      </c>
      <c r="H48" s="84">
        <v>0</v>
      </c>
      <c r="I48" s="103">
        <f t="shared" si="4"/>
        <v>0</v>
      </c>
    </row>
    <row r="49" spans="1:9">
      <c r="A49" s="82">
        <v>8</v>
      </c>
      <c r="B49" s="83" t="s">
        <v>21</v>
      </c>
      <c r="C49" s="84"/>
      <c r="D49" s="84"/>
      <c r="E49" s="84"/>
      <c r="F49" s="84">
        <v>0</v>
      </c>
      <c r="G49" s="84">
        <v>0</v>
      </c>
      <c r="H49" s="84">
        <v>0</v>
      </c>
      <c r="I49" s="103">
        <f t="shared" si="4"/>
        <v>0</v>
      </c>
    </row>
    <row r="50" spans="1:9">
      <c r="A50" s="82">
        <v>9</v>
      </c>
      <c r="B50" s="83" t="s">
        <v>22</v>
      </c>
      <c r="C50" s="84"/>
      <c r="D50" s="84"/>
      <c r="E50" s="84"/>
      <c r="F50" s="84">
        <v>0</v>
      </c>
      <c r="G50" s="84">
        <v>0</v>
      </c>
      <c r="H50" s="84">
        <v>0</v>
      </c>
      <c r="I50" s="103">
        <f t="shared" si="4"/>
        <v>0</v>
      </c>
    </row>
    <row r="51" spans="1:9">
      <c r="A51" s="82">
        <v>10</v>
      </c>
      <c r="B51" s="83" t="s">
        <v>23</v>
      </c>
      <c r="C51" s="84"/>
      <c r="D51" s="84"/>
      <c r="E51" s="84"/>
      <c r="F51" s="84">
        <v>0</v>
      </c>
      <c r="G51" s="84">
        <v>0</v>
      </c>
      <c r="H51" s="84">
        <v>0</v>
      </c>
      <c r="I51" s="103">
        <f t="shared" si="4"/>
        <v>0</v>
      </c>
    </row>
    <row r="52" spans="1:9">
      <c r="A52" s="82">
        <v>11</v>
      </c>
      <c r="B52" s="83" t="s">
        <v>24</v>
      </c>
      <c r="C52" s="84"/>
      <c r="D52" s="84"/>
      <c r="E52" s="84"/>
      <c r="F52" s="84">
        <v>0</v>
      </c>
      <c r="G52" s="84">
        <v>0</v>
      </c>
      <c r="H52" s="84">
        <v>0</v>
      </c>
      <c r="I52" s="103">
        <f t="shared" si="4"/>
        <v>0</v>
      </c>
    </row>
    <row r="53" ht="14.25" spans="1:9">
      <c r="A53" s="85">
        <v>12</v>
      </c>
      <c r="B53" s="86" t="s">
        <v>25</v>
      </c>
      <c r="C53" s="121"/>
      <c r="D53" s="121"/>
      <c r="E53" s="121"/>
      <c r="F53" s="121">
        <v>0</v>
      </c>
      <c r="G53" s="121">
        <v>0</v>
      </c>
      <c r="H53" s="121">
        <v>0</v>
      </c>
      <c r="I53" s="103">
        <f t="shared" si="4"/>
        <v>0</v>
      </c>
    </row>
    <row r="54" ht="15" spans="1:9">
      <c r="A54" s="87" t="s">
        <v>26</v>
      </c>
      <c r="B54" s="88"/>
      <c r="C54" s="88">
        <f t="shared" ref="C54:I54" si="5">SUM(C42:C53)</f>
        <v>30</v>
      </c>
      <c r="D54" s="88">
        <f t="shared" si="5"/>
        <v>0</v>
      </c>
      <c r="E54" s="88">
        <f t="shared" si="5"/>
        <v>6</v>
      </c>
      <c r="F54" s="88">
        <f t="shared" si="5"/>
        <v>0</v>
      </c>
      <c r="G54" s="88">
        <f t="shared" si="5"/>
        <v>0</v>
      </c>
      <c r="H54" s="88">
        <f t="shared" si="5"/>
        <v>0</v>
      </c>
      <c r="I54" s="90">
        <f t="shared" si="5"/>
        <v>36</v>
      </c>
    </row>
    <row r="55" ht="15"/>
    <row r="56" ht="15" spans="1:9">
      <c r="A56" s="123" t="s">
        <v>29</v>
      </c>
      <c r="B56" s="124"/>
      <c r="C56" s="124"/>
      <c r="D56" s="124"/>
      <c r="E56" s="124"/>
      <c r="F56" s="124"/>
      <c r="G56" s="124"/>
      <c r="H56" s="124"/>
      <c r="I56" s="125"/>
    </row>
    <row r="57" ht="14.25" spans="1:9">
      <c r="A57" s="56" t="s">
        <v>4</v>
      </c>
      <c r="B57" s="57" t="s">
        <v>5</v>
      </c>
      <c r="C57" s="57" t="s">
        <v>6</v>
      </c>
      <c r="D57" s="57"/>
      <c r="E57" s="57"/>
      <c r="F57" s="57"/>
      <c r="G57" s="57"/>
      <c r="H57" s="126" t="s">
        <v>7</v>
      </c>
      <c r="I57" s="127" t="s">
        <v>8</v>
      </c>
    </row>
    <row r="58" ht="14.25" spans="1:9">
      <c r="A58" s="72"/>
      <c r="B58" s="73"/>
      <c r="C58" s="73" t="s">
        <v>9</v>
      </c>
      <c r="D58" s="73" t="s">
        <v>10</v>
      </c>
      <c r="E58" s="73" t="s">
        <v>11</v>
      </c>
      <c r="F58" s="73" t="s">
        <v>12</v>
      </c>
      <c r="G58" s="73" t="s">
        <v>13</v>
      </c>
      <c r="H58" s="128"/>
      <c r="I58" s="76"/>
    </row>
    <row r="59" ht="14.25" spans="1:9">
      <c r="A59" s="77">
        <v>1</v>
      </c>
      <c r="B59" s="78" t="s">
        <v>14</v>
      </c>
      <c r="C59" s="79">
        <v>18</v>
      </c>
      <c r="D59" s="79">
        <v>0</v>
      </c>
      <c r="E59" s="79">
        <v>6</v>
      </c>
      <c r="F59" s="79">
        <v>0</v>
      </c>
      <c r="G59" s="79">
        <v>0</v>
      </c>
      <c r="H59" s="79">
        <v>0</v>
      </c>
      <c r="I59" s="81">
        <f t="shared" ref="I59:I70" si="6">SUM(C59:H59)</f>
        <v>24</v>
      </c>
    </row>
    <row r="60" spans="1:9">
      <c r="A60" s="82">
        <v>2</v>
      </c>
      <c r="B60" s="83" t="s">
        <v>15</v>
      </c>
      <c r="C60" s="84">
        <v>27</v>
      </c>
      <c r="D60" s="84">
        <v>0</v>
      </c>
      <c r="E60" s="84">
        <v>6</v>
      </c>
      <c r="F60" s="84">
        <v>0</v>
      </c>
      <c r="G60" s="84">
        <v>0</v>
      </c>
      <c r="H60" s="79">
        <v>0</v>
      </c>
      <c r="I60" s="103">
        <f t="shared" si="6"/>
        <v>33</v>
      </c>
    </row>
    <row r="61" spans="1:9">
      <c r="A61" s="82">
        <v>3</v>
      </c>
      <c r="B61" s="83" t="s">
        <v>16</v>
      </c>
      <c r="C61" s="84"/>
      <c r="D61" s="84"/>
      <c r="E61" s="84"/>
      <c r="F61" s="84">
        <v>0</v>
      </c>
      <c r="G61" s="84">
        <v>0</v>
      </c>
      <c r="H61" s="84">
        <v>0</v>
      </c>
      <c r="I61" s="103">
        <f t="shared" si="6"/>
        <v>0</v>
      </c>
    </row>
    <row r="62" spans="1:9">
      <c r="A62" s="82">
        <v>4</v>
      </c>
      <c r="B62" s="83" t="s">
        <v>17</v>
      </c>
      <c r="C62" s="84"/>
      <c r="D62" s="84"/>
      <c r="E62" s="84"/>
      <c r="F62" s="84">
        <v>0</v>
      </c>
      <c r="G62" s="84">
        <v>0</v>
      </c>
      <c r="H62" s="84">
        <v>0</v>
      </c>
      <c r="I62" s="103">
        <f t="shared" si="6"/>
        <v>0</v>
      </c>
    </row>
    <row r="63" spans="1:9">
      <c r="A63" s="82">
        <v>5</v>
      </c>
      <c r="B63" s="83" t="s">
        <v>18</v>
      </c>
      <c r="C63" s="84"/>
      <c r="D63" s="84"/>
      <c r="E63" s="84"/>
      <c r="F63" s="84">
        <v>0</v>
      </c>
      <c r="G63" s="84">
        <v>0</v>
      </c>
      <c r="H63" s="84">
        <v>0</v>
      </c>
      <c r="I63" s="103">
        <f t="shared" si="6"/>
        <v>0</v>
      </c>
    </row>
    <row r="64" spans="1:9">
      <c r="A64" s="82">
        <v>6</v>
      </c>
      <c r="B64" s="83" t="s">
        <v>19</v>
      </c>
      <c r="C64" s="84"/>
      <c r="D64" s="84"/>
      <c r="E64" s="84"/>
      <c r="F64" s="84">
        <v>0</v>
      </c>
      <c r="G64" s="84">
        <v>0</v>
      </c>
      <c r="H64" s="84">
        <v>0</v>
      </c>
      <c r="I64" s="103">
        <f t="shared" si="6"/>
        <v>0</v>
      </c>
    </row>
    <row r="65" spans="1:9">
      <c r="A65" s="82">
        <v>7</v>
      </c>
      <c r="B65" s="83" t="s">
        <v>20</v>
      </c>
      <c r="C65" s="84"/>
      <c r="D65" s="84"/>
      <c r="E65" s="84"/>
      <c r="F65" s="84">
        <v>0</v>
      </c>
      <c r="G65" s="84">
        <v>0</v>
      </c>
      <c r="H65" s="84">
        <v>0</v>
      </c>
      <c r="I65" s="103">
        <f t="shared" si="6"/>
        <v>0</v>
      </c>
    </row>
    <row r="66" spans="1:9">
      <c r="A66" s="82">
        <v>8</v>
      </c>
      <c r="B66" s="83" t="s">
        <v>21</v>
      </c>
      <c r="C66" s="84"/>
      <c r="D66" s="84"/>
      <c r="E66" s="84"/>
      <c r="F66" s="84">
        <v>0</v>
      </c>
      <c r="G66" s="84">
        <v>0</v>
      </c>
      <c r="H66" s="84">
        <v>0</v>
      </c>
      <c r="I66" s="103">
        <f t="shared" si="6"/>
        <v>0</v>
      </c>
    </row>
    <row r="67" spans="1:9">
      <c r="A67" s="82">
        <v>9</v>
      </c>
      <c r="B67" s="83" t="s">
        <v>22</v>
      </c>
      <c r="C67" s="84"/>
      <c r="D67" s="84"/>
      <c r="E67" s="84"/>
      <c r="F67" s="84">
        <v>0</v>
      </c>
      <c r="G67" s="84">
        <v>0</v>
      </c>
      <c r="H67" s="84">
        <v>0</v>
      </c>
      <c r="I67" s="103">
        <f t="shared" si="6"/>
        <v>0</v>
      </c>
    </row>
    <row r="68" spans="1:9">
      <c r="A68" s="82">
        <v>10</v>
      </c>
      <c r="B68" s="83" t="s">
        <v>23</v>
      </c>
      <c r="C68" s="84"/>
      <c r="D68" s="84"/>
      <c r="E68" s="84"/>
      <c r="F68" s="84">
        <v>0</v>
      </c>
      <c r="G68" s="84">
        <v>0</v>
      </c>
      <c r="H68" s="84">
        <v>0</v>
      </c>
      <c r="I68" s="103">
        <f t="shared" si="6"/>
        <v>0</v>
      </c>
    </row>
    <row r="69" spans="1:9">
      <c r="A69" s="82">
        <v>11</v>
      </c>
      <c r="B69" s="83" t="s">
        <v>24</v>
      </c>
      <c r="C69" s="84"/>
      <c r="D69" s="84"/>
      <c r="E69" s="84"/>
      <c r="F69" s="84">
        <v>0</v>
      </c>
      <c r="G69" s="84">
        <v>0</v>
      </c>
      <c r="H69" s="84">
        <v>0</v>
      </c>
      <c r="I69" s="103">
        <f t="shared" si="6"/>
        <v>0</v>
      </c>
    </row>
    <row r="70" ht="14.25" spans="1:9">
      <c r="A70" s="85">
        <v>12</v>
      </c>
      <c r="B70" s="86" t="s">
        <v>25</v>
      </c>
      <c r="C70" s="121"/>
      <c r="D70" s="121"/>
      <c r="E70" s="121"/>
      <c r="F70" s="121">
        <v>0</v>
      </c>
      <c r="G70" s="121">
        <v>0</v>
      </c>
      <c r="H70" s="121">
        <v>0</v>
      </c>
      <c r="I70" s="103">
        <f t="shared" si="6"/>
        <v>0</v>
      </c>
    </row>
    <row r="71" ht="15" spans="1:9">
      <c r="A71" s="87" t="s">
        <v>26</v>
      </c>
      <c r="B71" s="88"/>
      <c r="C71" s="88">
        <f t="shared" ref="C71:I71" si="7">SUM(C59:C70)</f>
        <v>45</v>
      </c>
      <c r="D71" s="88">
        <f t="shared" si="7"/>
        <v>0</v>
      </c>
      <c r="E71" s="88">
        <f t="shared" si="7"/>
        <v>12</v>
      </c>
      <c r="F71" s="88">
        <f t="shared" si="7"/>
        <v>0</v>
      </c>
      <c r="G71" s="88">
        <f t="shared" si="7"/>
        <v>0</v>
      </c>
      <c r="H71" s="88">
        <f t="shared" si="7"/>
        <v>0</v>
      </c>
      <c r="I71" s="90">
        <f t="shared" si="7"/>
        <v>57</v>
      </c>
    </row>
    <row r="72" ht="15"/>
    <row r="73" ht="15" spans="1:9">
      <c r="A73" s="123" t="s">
        <v>30</v>
      </c>
      <c r="B73" s="124"/>
      <c r="C73" s="124"/>
      <c r="D73" s="124"/>
      <c r="E73" s="124"/>
      <c r="F73" s="124"/>
      <c r="G73" s="124"/>
      <c r="H73" s="124"/>
      <c r="I73" s="125"/>
    </row>
    <row r="74" ht="14.25" spans="1:9">
      <c r="A74" s="56" t="s">
        <v>4</v>
      </c>
      <c r="B74" s="57" t="s">
        <v>5</v>
      </c>
      <c r="C74" s="57" t="s">
        <v>6</v>
      </c>
      <c r="D74" s="57"/>
      <c r="E74" s="57"/>
      <c r="F74" s="57"/>
      <c r="G74" s="57"/>
      <c r="H74" s="126" t="s">
        <v>7</v>
      </c>
      <c r="I74" s="127" t="s">
        <v>8</v>
      </c>
    </row>
    <row r="75" ht="14.25" spans="1:9">
      <c r="A75" s="72"/>
      <c r="B75" s="73"/>
      <c r="C75" s="73" t="s">
        <v>9</v>
      </c>
      <c r="D75" s="73" t="s">
        <v>10</v>
      </c>
      <c r="E75" s="73" t="s">
        <v>11</v>
      </c>
      <c r="F75" s="73" t="s">
        <v>12</v>
      </c>
      <c r="G75" s="73" t="s">
        <v>13</v>
      </c>
      <c r="H75" s="128"/>
      <c r="I75" s="76"/>
    </row>
    <row r="76" ht="14.25" spans="1:9">
      <c r="A76" s="77">
        <v>1</v>
      </c>
      <c r="B76" s="78" t="s">
        <v>14</v>
      </c>
      <c r="C76" s="79">
        <v>8</v>
      </c>
      <c r="D76" s="79">
        <v>0</v>
      </c>
      <c r="E76" s="79">
        <v>2</v>
      </c>
      <c r="F76" s="79">
        <v>0</v>
      </c>
      <c r="G76" s="79">
        <v>0</v>
      </c>
      <c r="H76" s="79">
        <v>0</v>
      </c>
      <c r="I76" s="81">
        <f t="shared" ref="I76:I87" si="8">SUM(C76:H76)</f>
        <v>10</v>
      </c>
    </row>
    <row r="77" spans="1:9">
      <c r="A77" s="82">
        <v>2</v>
      </c>
      <c r="B77" s="83" t="s">
        <v>15</v>
      </c>
      <c r="C77" s="84">
        <v>11</v>
      </c>
      <c r="D77" s="84">
        <v>0</v>
      </c>
      <c r="E77" s="84">
        <v>1</v>
      </c>
      <c r="F77" s="84">
        <v>0</v>
      </c>
      <c r="G77" s="84">
        <v>0</v>
      </c>
      <c r="H77" s="84">
        <v>0</v>
      </c>
      <c r="I77" s="103">
        <f t="shared" si="8"/>
        <v>12</v>
      </c>
    </row>
    <row r="78" spans="1:9">
      <c r="A78" s="82">
        <v>3</v>
      </c>
      <c r="B78" s="83" t="s">
        <v>16</v>
      </c>
      <c r="C78" s="84"/>
      <c r="D78" s="84"/>
      <c r="E78" s="84"/>
      <c r="F78" s="84">
        <v>0</v>
      </c>
      <c r="G78" s="84">
        <v>0</v>
      </c>
      <c r="H78" s="84">
        <v>0</v>
      </c>
      <c r="I78" s="103">
        <f t="shared" si="8"/>
        <v>0</v>
      </c>
    </row>
    <row r="79" spans="1:9">
      <c r="A79" s="82">
        <v>4</v>
      </c>
      <c r="B79" s="83" t="s">
        <v>17</v>
      </c>
      <c r="C79" s="84"/>
      <c r="D79" s="84"/>
      <c r="E79" s="84"/>
      <c r="F79" s="84">
        <v>0</v>
      </c>
      <c r="G79" s="84">
        <v>0</v>
      </c>
      <c r="H79" s="84">
        <v>0</v>
      </c>
      <c r="I79" s="103">
        <f t="shared" si="8"/>
        <v>0</v>
      </c>
    </row>
    <row r="80" spans="1:9">
      <c r="A80" s="82">
        <v>5</v>
      </c>
      <c r="B80" s="83" t="s">
        <v>18</v>
      </c>
      <c r="C80" s="84"/>
      <c r="D80" s="84"/>
      <c r="E80" s="84"/>
      <c r="F80" s="84">
        <v>0</v>
      </c>
      <c r="G80" s="84">
        <v>0</v>
      </c>
      <c r="H80" s="84">
        <v>0</v>
      </c>
      <c r="I80" s="103">
        <f t="shared" si="8"/>
        <v>0</v>
      </c>
    </row>
    <row r="81" spans="1:9">
      <c r="A81" s="82">
        <v>6</v>
      </c>
      <c r="B81" s="83" t="s">
        <v>19</v>
      </c>
      <c r="C81" s="84"/>
      <c r="D81" s="84"/>
      <c r="E81" s="84"/>
      <c r="F81" s="84">
        <v>0</v>
      </c>
      <c r="G81" s="84">
        <v>0</v>
      </c>
      <c r="H81" s="84">
        <v>0</v>
      </c>
      <c r="I81" s="103">
        <f t="shared" si="8"/>
        <v>0</v>
      </c>
    </row>
    <row r="82" spans="1:9">
      <c r="A82" s="82">
        <v>7</v>
      </c>
      <c r="B82" s="83" t="s">
        <v>20</v>
      </c>
      <c r="C82" s="84"/>
      <c r="D82" s="84"/>
      <c r="E82" s="84"/>
      <c r="F82" s="84">
        <v>0</v>
      </c>
      <c r="G82" s="84">
        <v>0</v>
      </c>
      <c r="H82" s="84">
        <v>0</v>
      </c>
      <c r="I82" s="103">
        <f t="shared" si="8"/>
        <v>0</v>
      </c>
    </row>
    <row r="83" spans="1:9">
      <c r="A83" s="82">
        <v>8</v>
      </c>
      <c r="B83" s="83" t="s">
        <v>21</v>
      </c>
      <c r="C83" s="84"/>
      <c r="D83" s="84"/>
      <c r="E83" s="84"/>
      <c r="F83" s="84">
        <v>0</v>
      </c>
      <c r="G83" s="84">
        <v>0</v>
      </c>
      <c r="H83" s="84">
        <v>0</v>
      </c>
      <c r="I83" s="103">
        <f t="shared" si="8"/>
        <v>0</v>
      </c>
    </row>
    <row r="84" spans="1:9">
      <c r="A84" s="82">
        <v>9</v>
      </c>
      <c r="B84" s="83" t="s">
        <v>22</v>
      </c>
      <c r="C84" s="84"/>
      <c r="D84" s="84"/>
      <c r="E84" s="84"/>
      <c r="F84" s="84">
        <v>0</v>
      </c>
      <c r="G84" s="84">
        <v>0</v>
      </c>
      <c r="H84" s="84">
        <v>0</v>
      </c>
      <c r="I84" s="103">
        <f t="shared" si="8"/>
        <v>0</v>
      </c>
    </row>
    <row r="85" spans="1:9">
      <c r="A85" s="82">
        <v>10</v>
      </c>
      <c r="B85" s="83" t="s">
        <v>23</v>
      </c>
      <c r="C85" s="84"/>
      <c r="D85" s="84"/>
      <c r="E85" s="84"/>
      <c r="F85" s="84">
        <v>0</v>
      </c>
      <c r="G85" s="84">
        <v>0</v>
      </c>
      <c r="H85" s="84">
        <v>0</v>
      </c>
      <c r="I85" s="103">
        <f t="shared" si="8"/>
        <v>0</v>
      </c>
    </row>
    <row r="86" spans="1:9">
      <c r="A86" s="82">
        <v>11</v>
      </c>
      <c r="B86" s="83" t="s">
        <v>24</v>
      </c>
      <c r="C86" s="84"/>
      <c r="D86" s="84"/>
      <c r="E86" s="84"/>
      <c r="F86" s="84">
        <v>0</v>
      </c>
      <c r="G86" s="84">
        <v>0</v>
      </c>
      <c r="H86" s="84">
        <v>0</v>
      </c>
      <c r="I86" s="103">
        <f t="shared" si="8"/>
        <v>0</v>
      </c>
    </row>
    <row r="87" ht="14.25" spans="1:9">
      <c r="A87" s="85">
        <v>12</v>
      </c>
      <c r="B87" s="86" t="s">
        <v>25</v>
      </c>
      <c r="C87" s="121"/>
      <c r="D87" s="121"/>
      <c r="E87" s="121"/>
      <c r="F87" s="121">
        <v>0</v>
      </c>
      <c r="G87" s="121">
        <v>0</v>
      </c>
      <c r="H87" s="121">
        <v>0</v>
      </c>
      <c r="I87" s="103">
        <f t="shared" si="8"/>
        <v>0</v>
      </c>
    </row>
    <row r="88" ht="15" spans="1:9">
      <c r="A88" s="87" t="s">
        <v>26</v>
      </c>
      <c r="B88" s="88"/>
      <c r="C88" s="88">
        <f t="shared" ref="C88:I88" si="9">SUM(C76:C87)</f>
        <v>19</v>
      </c>
      <c r="D88" s="88">
        <f t="shared" si="9"/>
        <v>0</v>
      </c>
      <c r="E88" s="88">
        <f t="shared" si="9"/>
        <v>3</v>
      </c>
      <c r="F88" s="88">
        <f t="shared" si="9"/>
        <v>0</v>
      </c>
      <c r="G88" s="88">
        <f t="shared" si="9"/>
        <v>0</v>
      </c>
      <c r="H88" s="88">
        <f t="shared" si="9"/>
        <v>0</v>
      </c>
      <c r="I88" s="90">
        <f t="shared" si="9"/>
        <v>22</v>
      </c>
    </row>
    <row r="89" ht="15"/>
    <row r="90" ht="15" spans="1:9">
      <c r="A90" s="123" t="s">
        <v>31</v>
      </c>
      <c r="B90" s="124"/>
      <c r="C90" s="124"/>
      <c r="D90" s="124"/>
      <c r="E90" s="124"/>
      <c r="F90" s="124"/>
      <c r="G90" s="124"/>
      <c r="H90" s="124"/>
      <c r="I90" s="125"/>
    </row>
    <row r="91" ht="14.25" spans="1:9">
      <c r="A91" s="56" t="s">
        <v>4</v>
      </c>
      <c r="B91" s="57" t="s">
        <v>5</v>
      </c>
      <c r="C91" s="57" t="s">
        <v>6</v>
      </c>
      <c r="D91" s="57"/>
      <c r="E91" s="57"/>
      <c r="F91" s="57"/>
      <c r="G91" s="57"/>
      <c r="H91" s="126" t="s">
        <v>7</v>
      </c>
      <c r="I91" s="127" t="s">
        <v>8</v>
      </c>
    </row>
    <row r="92" ht="14.25" spans="1:9">
      <c r="A92" s="72"/>
      <c r="B92" s="73"/>
      <c r="C92" s="73" t="s">
        <v>9</v>
      </c>
      <c r="D92" s="73" t="s">
        <v>10</v>
      </c>
      <c r="E92" s="73" t="s">
        <v>11</v>
      </c>
      <c r="F92" s="73" t="s">
        <v>12</v>
      </c>
      <c r="G92" s="73" t="s">
        <v>13</v>
      </c>
      <c r="H92" s="128"/>
      <c r="I92" s="76"/>
    </row>
    <row r="93" ht="14.25" spans="1:9">
      <c r="A93" s="77">
        <v>1</v>
      </c>
      <c r="B93" s="78" t="s">
        <v>14</v>
      </c>
      <c r="C93" s="79">
        <v>12</v>
      </c>
      <c r="D93" s="79">
        <v>0</v>
      </c>
      <c r="E93" s="79">
        <v>1</v>
      </c>
      <c r="F93" s="79">
        <v>0</v>
      </c>
      <c r="G93" s="79">
        <v>0</v>
      </c>
      <c r="H93" s="79">
        <v>0</v>
      </c>
      <c r="I93" s="81">
        <f t="shared" ref="I93:I104" si="10">SUM(C93:H93)</f>
        <v>13</v>
      </c>
    </row>
    <row r="94" spans="1:9">
      <c r="A94" s="82">
        <v>2</v>
      </c>
      <c r="B94" s="83" t="s">
        <v>15</v>
      </c>
      <c r="C94" s="84">
        <v>19</v>
      </c>
      <c r="D94" s="84">
        <v>1</v>
      </c>
      <c r="E94" s="84">
        <v>0</v>
      </c>
      <c r="F94" s="84">
        <v>0</v>
      </c>
      <c r="G94" s="84">
        <v>0</v>
      </c>
      <c r="H94" s="84">
        <v>0</v>
      </c>
      <c r="I94" s="103">
        <f t="shared" si="10"/>
        <v>20</v>
      </c>
    </row>
    <row r="95" spans="1:9">
      <c r="A95" s="82">
        <v>3</v>
      </c>
      <c r="B95" s="83" t="s">
        <v>16</v>
      </c>
      <c r="C95" s="84"/>
      <c r="D95" s="84"/>
      <c r="E95" s="84"/>
      <c r="F95" s="84">
        <v>0</v>
      </c>
      <c r="G95" s="84">
        <v>0</v>
      </c>
      <c r="H95" s="84">
        <v>0</v>
      </c>
      <c r="I95" s="103">
        <f t="shared" si="10"/>
        <v>0</v>
      </c>
    </row>
    <row r="96" spans="1:9">
      <c r="A96" s="82">
        <v>4</v>
      </c>
      <c r="B96" s="83" t="s">
        <v>17</v>
      </c>
      <c r="C96" s="84"/>
      <c r="D96" s="84"/>
      <c r="E96" s="84"/>
      <c r="F96" s="84">
        <v>0</v>
      </c>
      <c r="G96" s="84">
        <v>0</v>
      </c>
      <c r="H96" s="84">
        <v>0</v>
      </c>
      <c r="I96" s="103">
        <f t="shared" si="10"/>
        <v>0</v>
      </c>
    </row>
    <row r="97" spans="1:9">
      <c r="A97" s="82">
        <v>5</v>
      </c>
      <c r="B97" s="83" t="s">
        <v>18</v>
      </c>
      <c r="C97" s="84"/>
      <c r="D97" s="84"/>
      <c r="E97" s="84"/>
      <c r="F97" s="84">
        <v>0</v>
      </c>
      <c r="G97" s="84">
        <v>0</v>
      </c>
      <c r="H97" s="84">
        <v>0</v>
      </c>
      <c r="I97" s="103">
        <f t="shared" si="10"/>
        <v>0</v>
      </c>
    </row>
    <row r="98" spans="1:9">
      <c r="A98" s="82">
        <v>6</v>
      </c>
      <c r="B98" s="83" t="s">
        <v>19</v>
      </c>
      <c r="C98" s="84"/>
      <c r="D98" s="84"/>
      <c r="E98" s="84"/>
      <c r="F98" s="84">
        <v>0</v>
      </c>
      <c r="G98" s="84">
        <v>0</v>
      </c>
      <c r="H98" s="84">
        <v>0</v>
      </c>
      <c r="I98" s="103">
        <f t="shared" si="10"/>
        <v>0</v>
      </c>
    </row>
    <row r="99" spans="1:9">
      <c r="A99" s="82">
        <v>7</v>
      </c>
      <c r="B99" s="83" t="s">
        <v>20</v>
      </c>
      <c r="C99" s="84"/>
      <c r="D99" s="84"/>
      <c r="E99" s="84"/>
      <c r="F99" s="84">
        <v>0</v>
      </c>
      <c r="G99" s="84">
        <v>0</v>
      </c>
      <c r="H99" s="84">
        <v>0</v>
      </c>
      <c r="I99" s="103">
        <f t="shared" si="10"/>
        <v>0</v>
      </c>
    </row>
    <row r="100" spans="1:9">
      <c r="A100" s="82">
        <v>8</v>
      </c>
      <c r="B100" s="83" t="s">
        <v>21</v>
      </c>
      <c r="C100" s="84"/>
      <c r="D100" s="84"/>
      <c r="E100" s="84"/>
      <c r="F100" s="84">
        <v>0</v>
      </c>
      <c r="G100" s="84">
        <v>0</v>
      </c>
      <c r="H100" s="84">
        <v>0</v>
      </c>
      <c r="I100" s="103">
        <f t="shared" si="10"/>
        <v>0</v>
      </c>
    </row>
    <row r="101" spans="1:9">
      <c r="A101" s="82">
        <v>9</v>
      </c>
      <c r="B101" s="83" t="s">
        <v>22</v>
      </c>
      <c r="C101" s="84"/>
      <c r="D101" s="84"/>
      <c r="E101" s="84"/>
      <c r="F101" s="84">
        <v>0</v>
      </c>
      <c r="G101" s="84">
        <v>0</v>
      </c>
      <c r="H101" s="84">
        <v>0</v>
      </c>
      <c r="I101" s="103">
        <f t="shared" si="10"/>
        <v>0</v>
      </c>
    </row>
    <row r="102" spans="1:9">
      <c r="A102" s="82">
        <v>10</v>
      </c>
      <c r="B102" s="83" t="s">
        <v>23</v>
      </c>
      <c r="C102" s="84"/>
      <c r="D102" s="84"/>
      <c r="E102" s="84"/>
      <c r="F102" s="84">
        <v>0</v>
      </c>
      <c r="G102" s="84">
        <v>0</v>
      </c>
      <c r="H102" s="84">
        <v>0</v>
      </c>
      <c r="I102" s="103">
        <f t="shared" si="10"/>
        <v>0</v>
      </c>
    </row>
    <row r="103" spans="1:9">
      <c r="A103" s="82">
        <v>11</v>
      </c>
      <c r="B103" s="83" t="s">
        <v>24</v>
      </c>
      <c r="C103" s="84"/>
      <c r="D103" s="84"/>
      <c r="E103" s="84"/>
      <c r="F103" s="84">
        <v>0</v>
      </c>
      <c r="G103" s="84">
        <v>0</v>
      </c>
      <c r="H103" s="84">
        <v>0</v>
      </c>
      <c r="I103" s="103">
        <f t="shared" si="10"/>
        <v>0</v>
      </c>
    </row>
    <row r="104" ht="14.25" spans="1:9">
      <c r="A104" s="85">
        <v>12</v>
      </c>
      <c r="B104" s="86" t="s">
        <v>25</v>
      </c>
      <c r="C104" s="121"/>
      <c r="D104" s="121"/>
      <c r="E104" s="121"/>
      <c r="F104" s="121">
        <v>0</v>
      </c>
      <c r="G104" s="121">
        <v>0</v>
      </c>
      <c r="H104" s="121">
        <v>0</v>
      </c>
      <c r="I104" s="103">
        <f t="shared" si="10"/>
        <v>0</v>
      </c>
    </row>
    <row r="105" ht="15" spans="1:9">
      <c r="A105" s="87" t="s">
        <v>26</v>
      </c>
      <c r="B105" s="88"/>
      <c r="C105" s="88">
        <f t="shared" ref="C105:I105" si="11">SUM(C93:C104)</f>
        <v>31</v>
      </c>
      <c r="D105" s="88">
        <f t="shared" si="11"/>
        <v>1</v>
      </c>
      <c r="E105" s="88">
        <f t="shared" si="11"/>
        <v>1</v>
      </c>
      <c r="F105" s="88">
        <f t="shared" si="11"/>
        <v>0</v>
      </c>
      <c r="G105" s="88">
        <f t="shared" si="11"/>
        <v>0</v>
      </c>
      <c r="H105" s="88">
        <f t="shared" si="11"/>
        <v>0</v>
      </c>
      <c r="I105" s="90">
        <f t="shared" si="11"/>
        <v>33</v>
      </c>
    </row>
    <row r="106" ht="15"/>
    <row r="107" ht="15" spans="1:9">
      <c r="A107" s="92" t="s">
        <v>32</v>
      </c>
      <c r="B107" s="93"/>
      <c r="C107" s="93">
        <f>SUM(C20,C37,C54,C71,C88,C105)</f>
        <v>190</v>
      </c>
      <c r="D107" s="93">
        <f t="shared" ref="D107:I107" si="12">SUM(D20,D37,D54,D71,D88,D105)</f>
        <v>9</v>
      </c>
      <c r="E107" s="93">
        <f t="shared" si="12"/>
        <v>46</v>
      </c>
      <c r="F107" s="93">
        <f t="shared" si="12"/>
        <v>0</v>
      </c>
      <c r="G107" s="93">
        <f t="shared" si="12"/>
        <v>0</v>
      </c>
      <c r="H107" s="93">
        <f t="shared" si="12"/>
        <v>0</v>
      </c>
      <c r="I107" s="95">
        <f t="shared" si="12"/>
        <v>245</v>
      </c>
    </row>
    <row r="108" ht="14.25"/>
  </sheetData>
  <mergeCells count="46">
    <mergeCell ref="A1:I1"/>
    <mergeCell ref="A2:I2"/>
    <mergeCell ref="A3:I3"/>
    <mergeCell ref="A5:I5"/>
    <mergeCell ref="C6:G6"/>
    <mergeCell ref="A20:B20"/>
    <mergeCell ref="A22:I22"/>
    <mergeCell ref="C23:G23"/>
    <mergeCell ref="A37:B37"/>
    <mergeCell ref="A39:I39"/>
    <mergeCell ref="C40:G40"/>
    <mergeCell ref="A54:B54"/>
    <mergeCell ref="A56:I56"/>
    <mergeCell ref="C57:G57"/>
    <mergeCell ref="A71:B71"/>
    <mergeCell ref="A73:I73"/>
    <mergeCell ref="C74:G74"/>
    <mergeCell ref="A88:B88"/>
    <mergeCell ref="A90:I90"/>
    <mergeCell ref="C91:G91"/>
    <mergeCell ref="A105:B105"/>
    <mergeCell ref="A107:B107"/>
    <mergeCell ref="A6:A7"/>
    <mergeCell ref="A23:A24"/>
    <mergeCell ref="A40:A41"/>
    <mergeCell ref="A57:A58"/>
    <mergeCell ref="A74:A75"/>
    <mergeCell ref="A91:A92"/>
    <mergeCell ref="B6:B7"/>
    <mergeCell ref="B23:B24"/>
    <mergeCell ref="B40:B41"/>
    <mergeCell ref="B57:B58"/>
    <mergeCell ref="B74:B75"/>
    <mergeCell ref="B91:B92"/>
    <mergeCell ref="H6:H7"/>
    <mergeCell ref="H23:H24"/>
    <mergeCell ref="H40:H41"/>
    <mergeCell ref="H57:H58"/>
    <mergeCell ref="H74:H75"/>
    <mergeCell ref="H91:H92"/>
    <mergeCell ref="I6:I7"/>
    <mergeCell ref="I23:I24"/>
    <mergeCell ref="I40:I41"/>
    <mergeCell ref="I57:I58"/>
    <mergeCell ref="I74:I75"/>
    <mergeCell ref="I91:I92"/>
  </mergeCells>
  <printOptions horizontalCentered="1" gridLines="1"/>
  <pageMargins left="0.5" right="0.25" top="0.75" bottom="0.75" header="0.3" footer="0.3"/>
  <pageSetup paperSize="25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114"/>
  <sheetViews>
    <sheetView zoomScale="120" zoomScaleNormal="120" showWhiteSpace="0" workbookViewId="0">
      <selection activeCell="E45" sqref="E45:E47"/>
    </sheetView>
  </sheetViews>
  <sheetFormatPr defaultColWidth="9" defaultRowHeight="13.5"/>
  <cols>
    <col min="1" max="1" width="6.88571428571429" style="1" customWidth="1"/>
    <col min="2" max="2" width="24" style="1" customWidth="1"/>
    <col min="3" max="13" width="13.4380952380952" style="1" customWidth="1"/>
    <col min="14" max="16384" width="9" style="1"/>
  </cols>
  <sheetData>
    <row r="1" ht="14.25" spans="1:13">
      <c r="A1" s="55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ht="14.25" spans="1:1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ht="14.25" spans="1:13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ht="15" spans="1:1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ht="15" spans="1:13">
      <c r="A5" s="118" t="s">
        <v>3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ht="17.25" customHeight="1" spans="1:13">
      <c r="A6" s="112" t="s">
        <v>4</v>
      </c>
      <c r="B6" s="58" t="s">
        <v>5</v>
      </c>
      <c r="C6" s="58" t="s">
        <v>34</v>
      </c>
      <c r="D6" s="58" t="s">
        <v>35</v>
      </c>
      <c r="E6" s="59" t="s">
        <v>36</v>
      </c>
      <c r="F6" s="60"/>
      <c r="G6" s="60"/>
      <c r="H6" s="61"/>
      <c r="I6" s="62" t="s">
        <v>37</v>
      </c>
      <c r="J6" s="113"/>
      <c r="K6" s="62" t="s">
        <v>38</v>
      </c>
      <c r="L6" s="63"/>
      <c r="M6" s="64"/>
    </row>
    <row r="7" ht="17.25" customHeight="1" spans="1:13">
      <c r="A7" s="65"/>
      <c r="B7" s="66"/>
      <c r="C7" s="66"/>
      <c r="D7" s="66"/>
      <c r="E7" s="67" t="s">
        <v>39</v>
      </c>
      <c r="F7" s="68"/>
      <c r="G7" s="67" t="s">
        <v>40</v>
      </c>
      <c r="H7" s="68"/>
      <c r="I7" s="69"/>
      <c r="J7" s="114"/>
      <c r="K7" s="69"/>
      <c r="L7" s="70"/>
      <c r="M7" s="71"/>
    </row>
    <row r="8" ht="17.25" customHeight="1" spans="1:13">
      <c r="A8" s="115"/>
      <c r="B8" s="74"/>
      <c r="C8" s="74"/>
      <c r="D8" s="74"/>
      <c r="E8" s="74" t="s">
        <v>41</v>
      </c>
      <c r="F8" s="74" t="s">
        <v>42</v>
      </c>
      <c r="G8" s="74" t="s">
        <v>41</v>
      </c>
      <c r="H8" s="74" t="s">
        <v>42</v>
      </c>
      <c r="I8" s="74" t="s">
        <v>43</v>
      </c>
      <c r="J8" s="75" t="s">
        <v>44</v>
      </c>
      <c r="K8" s="74" t="s">
        <v>43</v>
      </c>
      <c r="L8" s="75" t="s">
        <v>44</v>
      </c>
      <c r="M8" s="76" t="s">
        <v>45</v>
      </c>
    </row>
    <row r="9" ht="14.25" spans="1:13">
      <c r="A9" s="77">
        <v>1</v>
      </c>
      <c r="B9" s="78" t="s">
        <v>14</v>
      </c>
      <c r="C9" s="79">
        <v>10</v>
      </c>
      <c r="D9" s="79">
        <v>959</v>
      </c>
      <c r="E9" s="79">
        <v>337</v>
      </c>
      <c r="F9" s="79">
        <v>80</v>
      </c>
      <c r="G9" s="79">
        <v>42</v>
      </c>
      <c r="H9" s="79">
        <v>0</v>
      </c>
      <c r="I9" s="79">
        <v>0</v>
      </c>
      <c r="J9" s="79">
        <v>1</v>
      </c>
      <c r="K9" s="79">
        <v>0</v>
      </c>
      <c r="L9" s="80">
        <v>0</v>
      </c>
      <c r="M9" s="81">
        <v>0</v>
      </c>
    </row>
    <row r="10" spans="1:13">
      <c r="A10" s="82">
        <v>2</v>
      </c>
      <c r="B10" s="83" t="s">
        <v>15</v>
      </c>
      <c r="C10" s="84">
        <v>18</v>
      </c>
      <c r="D10" s="84">
        <v>1038</v>
      </c>
      <c r="E10" s="84">
        <v>432</v>
      </c>
      <c r="F10" s="84">
        <v>80</v>
      </c>
      <c r="G10" s="84">
        <v>181</v>
      </c>
      <c r="H10" s="84">
        <v>0</v>
      </c>
      <c r="I10" s="84">
        <v>0</v>
      </c>
      <c r="J10" s="84">
        <v>29</v>
      </c>
      <c r="K10" s="84">
        <v>23</v>
      </c>
      <c r="L10" s="80">
        <v>5</v>
      </c>
      <c r="M10" s="81">
        <v>0</v>
      </c>
    </row>
    <row r="11" spans="1:13">
      <c r="A11" s="82">
        <v>3</v>
      </c>
      <c r="B11" s="83" t="s">
        <v>16</v>
      </c>
      <c r="C11" s="84"/>
      <c r="D11" s="84"/>
      <c r="E11" s="84"/>
      <c r="F11" s="84">
        <v>80</v>
      </c>
      <c r="G11" s="84"/>
      <c r="H11" s="84">
        <v>0</v>
      </c>
      <c r="I11" s="84">
        <v>0</v>
      </c>
      <c r="J11" s="84"/>
      <c r="K11" s="84"/>
      <c r="L11" s="80"/>
      <c r="M11" s="81">
        <v>0</v>
      </c>
    </row>
    <row r="12" spans="1:13">
      <c r="A12" s="82">
        <v>4</v>
      </c>
      <c r="B12" s="83" t="s">
        <v>17</v>
      </c>
      <c r="C12" s="84"/>
      <c r="D12" s="84"/>
      <c r="E12" s="84"/>
      <c r="F12" s="84">
        <v>80</v>
      </c>
      <c r="G12" s="84"/>
      <c r="H12" s="84">
        <v>0</v>
      </c>
      <c r="I12" s="84">
        <v>0</v>
      </c>
      <c r="J12" s="84"/>
      <c r="K12" s="84"/>
      <c r="L12" s="80"/>
      <c r="M12" s="81">
        <v>0</v>
      </c>
    </row>
    <row r="13" spans="1:13">
      <c r="A13" s="82">
        <v>5</v>
      </c>
      <c r="B13" s="83" t="s">
        <v>18</v>
      </c>
      <c r="C13" s="84"/>
      <c r="D13" s="84"/>
      <c r="E13" s="84"/>
      <c r="F13" s="84">
        <v>80</v>
      </c>
      <c r="G13" s="84"/>
      <c r="H13" s="84">
        <v>0</v>
      </c>
      <c r="I13" s="84">
        <v>0</v>
      </c>
      <c r="J13" s="84"/>
      <c r="K13" s="84"/>
      <c r="L13" s="80"/>
      <c r="M13" s="81">
        <v>0</v>
      </c>
    </row>
    <row r="14" spans="1:13">
      <c r="A14" s="82">
        <v>6</v>
      </c>
      <c r="B14" s="83" t="s">
        <v>19</v>
      </c>
      <c r="C14" s="84"/>
      <c r="D14" s="84"/>
      <c r="E14" s="84"/>
      <c r="F14" s="84">
        <v>80</v>
      </c>
      <c r="G14" s="84"/>
      <c r="H14" s="84">
        <v>0</v>
      </c>
      <c r="I14" s="84">
        <v>0</v>
      </c>
      <c r="J14" s="84"/>
      <c r="K14" s="84"/>
      <c r="L14" s="80"/>
      <c r="M14" s="81">
        <v>0</v>
      </c>
    </row>
    <row r="15" spans="1:13">
      <c r="A15" s="82">
        <v>7</v>
      </c>
      <c r="B15" s="83" t="s">
        <v>20</v>
      </c>
      <c r="C15" s="84"/>
      <c r="D15" s="84"/>
      <c r="E15" s="84"/>
      <c r="F15" s="84">
        <v>80</v>
      </c>
      <c r="G15" s="84"/>
      <c r="H15" s="84">
        <v>0</v>
      </c>
      <c r="I15" s="84">
        <v>0</v>
      </c>
      <c r="J15" s="84"/>
      <c r="K15" s="84"/>
      <c r="L15" s="80"/>
      <c r="M15" s="81">
        <v>0</v>
      </c>
    </row>
    <row r="16" spans="1:13">
      <c r="A16" s="82">
        <v>8</v>
      </c>
      <c r="B16" s="83" t="s">
        <v>21</v>
      </c>
      <c r="C16" s="84"/>
      <c r="D16" s="84"/>
      <c r="E16" s="84"/>
      <c r="F16" s="84">
        <v>80</v>
      </c>
      <c r="G16" s="84"/>
      <c r="H16" s="84">
        <v>0</v>
      </c>
      <c r="I16" s="84">
        <v>0</v>
      </c>
      <c r="J16" s="84"/>
      <c r="K16" s="84"/>
      <c r="L16" s="80"/>
      <c r="M16" s="81">
        <v>0</v>
      </c>
    </row>
    <row r="17" spans="1:13">
      <c r="A17" s="82">
        <v>9</v>
      </c>
      <c r="B17" s="83" t="s">
        <v>22</v>
      </c>
      <c r="C17" s="84"/>
      <c r="D17" s="84"/>
      <c r="E17" s="84"/>
      <c r="F17" s="84">
        <v>80</v>
      </c>
      <c r="G17" s="84"/>
      <c r="H17" s="84">
        <v>0</v>
      </c>
      <c r="I17" s="84">
        <v>0</v>
      </c>
      <c r="J17" s="84"/>
      <c r="K17" s="84"/>
      <c r="L17" s="80"/>
      <c r="M17" s="81">
        <v>0</v>
      </c>
    </row>
    <row r="18" spans="1:13">
      <c r="A18" s="82">
        <v>10</v>
      </c>
      <c r="B18" s="83" t="s">
        <v>23</v>
      </c>
      <c r="C18" s="84"/>
      <c r="D18" s="84"/>
      <c r="E18" s="84"/>
      <c r="F18" s="84">
        <v>80</v>
      </c>
      <c r="G18" s="84"/>
      <c r="H18" s="84">
        <v>0</v>
      </c>
      <c r="I18" s="84">
        <v>0</v>
      </c>
      <c r="J18" s="84"/>
      <c r="K18" s="84"/>
      <c r="L18" s="80"/>
      <c r="M18" s="81">
        <v>0</v>
      </c>
    </row>
    <row r="19" spans="1:13">
      <c r="A19" s="82">
        <v>11</v>
      </c>
      <c r="B19" s="83" t="s">
        <v>24</v>
      </c>
      <c r="C19" s="84"/>
      <c r="D19" s="84"/>
      <c r="E19" s="84"/>
      <c r="F19" s="84">
        <v>80</v>
      </c>
      <c r="G19" s="84"/>
      <c r="H19" s="84">
        <v>0</v>
      </c>
      <c r="I19" s="84">
        <v>0</v>
      </c>
      <c r="J19" s="84"/>
      <c r="K19" s="84"/>
      <c r="L19" s="80"/>
      <c r="M19" s="81">
        <v>0</v>
      </c>
    </row>
    <row r="20" ht="14.25" spans="1:13">
      <c r="A20" s="85">
        <v>12</v>
      </c>
      <c r="B20" s="86" t="s">
        <v>25</v>
      </c>
      <c r="C20" s="121"/>
      <c r="D20" s="121"/>
      <c r="E20" s="121"/>
      <c r="F20" s="121">
        <v>80</v>
      </c>
      <c r="G20" s="121"/>
      <c r="H20" s="121">
        <v>0</v>
      </c>
      <c r="I20" s="121">
        <v>0</v>
      </c>
      <c r="J20" s="121"/>
      <c r="K20" s="121"/>
      <c r="L20" s="80"/>
      <c r="M20" s="81">
        <v>0</v>
      </c>
    </row>
    <row r="21" ht="18" customHeight="1" spans="1:13">
      <c r="A21" s="87" t="s">
        <v>26</v>
      </c>
      <c r="B21" s="88"/>
      <c r="C21" s="88">
        <f>SUM(C9:C20)</f>
        <v>28</v>
      </c>
      <c r="D21" s="88">
        <f>SUM(D9:D20)</f>
        <v>1997</v>
      </c>
      <c r="E21" s="88">
        <f>SUM(E9:E20)</f>
        <v>769</v>
      </c>
      <c r="F21" s="122">
        <f t="shared" ref="F21:M21" si="0">SUM(F9:F20)</f>
        <v>960</v>
      </c>
      <c r="G21" s="122">
        <f t="shared" si="0"/>
        <v>223</v>
      </c>
      <c r="H21" s="88">
        <f t="shared" si="0"/>
        <v>0</v>
      </c>
      <c r="I21" s="88">
        <f t="shared" si="0"/>
        <v>0</v>
      </c>
      <c r="J21" s="89">
        <f t="shared" si="0"/>
        <v>30</v>
      </c>
      <c r="K21" s="88">
        <f t="shared" si="0"/>
        <v>23</v>
      </c>
      <c r="L21" s="89">
        <f t="shared" ref="L21" si="1">SUM(L9:L20)</f>
        <v>5</v>
      </c>
      <c r="M21" s="90">
        <f t="shared" si="0"/>
        <v>0</v>
      </c>
    </row>
    <row r="22" ht="15" spans="1:13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ht="15" spans="1:13">
      <c r="A23" s="118" t="s">
        <v>27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20"/>
    </row>
    <row r="24" ht="14.25" spans="1:13">
      <c r="A24" s="112" t="s">
        <v>4</v>
      </c>
      <c r="B24" s="58" t="s">
        <v>5</v>
      </c>
      <c r="C24" s="58" t="s">
        <v>34</v>
      </c>
      <c r="D24" s="58" t="s">
        <v>35</v>
      </c>
      <c r="E24" s="59" t="s">
        <v>36</v>
      </c>
      <c r="F24" s="60"/>
      <c r="G24" s="60"/>
      <c r="H24" s="61"/>
      <c r="I24" s="62" t="s">
        <v>37</v>
      </c>
      <c r="J24" s="113"/>
      <c r="K24" s="62" t="s">
        <v>38</v>
      </c>
      <c r="L24" s="63"/>
      <c r="M24" s="64"/>
    </row>
    <row r="25" spans="1:13">
      <c r="A25" s="65"/>
      <c r="B25" s="66"/>
      <c r="C25" s="66"/>
      <c r="D25" s="66"/>
      <c r="E25" s="67" t="s">
        <v>39</v>
      </c>
      <c r="F25" s="68"/>
      <c r="G25" s="67" t="s">
        <v>40</v>
      </c>
      <c r="H25" s="68"/>
      <c r="I25" s="69"/>
      <c r="J25" s="114"/>
      <c r="K25" s="69"/>
      <c r="L25" s="70"/>
      <c r="M25" s="71"/>
    </row>
    <row r="26" ht="14.25" spans="1:13">
      <c r="A26" s="115"/>
      <c r="B26" s="74"/>
      <c r="C26" s="74"/>
      <c r="D26" s="74"/>
      <c r="E26" s="74" t="s">
        <v>41</v>
      </c>
      <c r="F26" s="74" t="s">
        <v>42</v>
      </c>
      <c r="G26" s="74" t="s">
        <v>41</v>
      </c>
      <c r="H26" s="74" t="s">
        <v>42</v>
      </c>
      <c r="I26" s="74" t="s">
        <v>43</v>
      </c>
      <c r="J26" s="75" t="s">
        <v>44</v>
      </c>
      <c r="K26" s="74" t="s">
        <v>43</v>
      </c>
      <c r="L26" s="75" t="s">
        <v>44</v>
      </c>
      <c r="M26" s="76" t="s">
        <v>45</v>
      </c>
    </row>
    <row r="27" ht="14.25" spans="1:13">
      <c r="A27" s="77">
        <v>1</v>
      </c>
      <c r="B27" s="78" t="s">
        <v>14</v>
      </c>
      <c r="C27" s="79">
        <v>1</v>
      </c>
      <c r="D27" s="79">
        <v>22</v>
      </c>
      <c r="E27" s="79">
        <v>0</v>
      </c>
      <c r="F27" s="79">
        <v>0</v>
      </c>
      <c r="G27" s="79">
        <v>25</v>
      </c>
      <c r="H27" s="79">
        <v>0</v>
      </c>
      <c r="I27" s="79">
        <v>0</v>
      </c>
      <c r="J27" s="79">
        <v>0</v>
      </c>
      <c r="K27" s="79">
        <v>0</v>
      </c>
      <c r="L27" s="80">
        <v>0</v>
      </c>
      <c r="M27" s="81">
        <v>0</v>
      </c>
    </row>
    <row r="28" spans="1:13">
      <c r="A28" s="82">
        <v>2</v>
      </c>
      <c r="B28" s="83" t="s">
        <v>15</v>
      </c>
      <c r="C28" s="84">
        <v>3</v>
      </c>
      <c r="D28" s="84">
        <v>59</v>
      </c>
      <c r="E28" s="84">
        <v>0</v>
      </c>
      <c r="F28" s="84">
        <v>0</v>
      </c>
      <c r="G28" s="84">
        <v>69</v>
      </c>
      <c r="H28" s="84">
        <v>0</v>
      </c>
      <c r="I28" s="84">
        <v>0</v>
      </c>
      <c r="J28" s="84">
        <v>0</v>
      </c>
      <c r="K28" s="84">
        <v>0</v>
      </c>
      <c r="L28" s="80">
        <v>0</v>
      </c>
      <c r="M28" s="81">
        <v>0</v>
      </c>
    </row>
    <row r="29" spans="1:13">
      <c r="A29" s="82">
        <v>3</v>
      </c>
      <c r="B29" s="83" t="s">
        <v>16</v>
      </c>
      <c r="C29" s="84"/>
      <c r="D29" s="84"/>
      <c r="E29" s="84">
        <v>0</v>
      </c>
      <c r="F29" s="84">
        <v>0</v>
      </c>
      <c r="G29" s="84"/>
      <c r="H29" s="84">
        <v>0</v>
      </c>
      <c r="I29" s="84">
        <v>0</v>
      </c>
      <c r="J29" s="84">
        <v>0</v>
      </c>
      <c r="K29" s="84">
        <v>0</v>
      </c>
      <c r="L29" s="80">
        <v>0</v>
      </c>
      <c r="M29" s="81">
        <v>0</v>
      </c>
    </row>
    <row r="30" spans="1:13">
      <c r="A30" s="82">
        <v>4</v>
      </c>
      <c r="B30" s="83" t="s">
        <v>17</v>
      </c>
      <c r="C30" s="84"/>
      <c r="D30" s="84"/>
      <c r="E30" s="84">
        <v>0</v>
      </c>
      <c r="F30" s="84">
        <v>0</v>
      </c>
      <c r="G30" s="84"/>
      <c r="H30" s="84">
        <v>0</v>
      </c>
      <c r="I30" s="84">
        <v>0</v>
      </c>
      <c r="J30" s="84">
        <v>0</v>
      </c>
      <c r="K30" s="84">
        <v>0</v>
      </c>
      <c r="L30" s="80">
        <v>0</v>
      </c>
      <c r="M30" s="81">
        <v>0</v>
      </c>
    </row>
    <row r="31" spans="1:13">
      <c r="A31" s="82">
        <v>5</v>
      </c>
      <c r="B31" s="83" t="s">
        <v>18</v>
      </c>
      <c r="C31" s="84"/>
      <c r="D31" s="84"/>
      <c r="E31" s="84">
        <v>0</v>
      </c>
      <c r="F31" s="84">
        <v>0</v>
      </c>
      <c r="G31" s="84"/>
      <c r="H31" s="84">
        <v>0</v>
      </c>
      <c r="I31" s="84">
        <v>0</v>
      </c>
      <c r="J31" s="84">
        <v>0</v>
      </c>
      <c r="K31" s="84">
        <v>0</v>
      </c>
      <c r="L31" s="80">
        <v>0</v>
      </c>
      <c r="M31" s="81">
        <v>0</v>
      </c>
    </row>
    <row r="32" spans="1:13">
      <c r="A32" s="82">
        <v>6</v>
      </c>
      <c r="B32" s="83" t="s">
        <v>19</v>
      </c>
      <c r="C32" s="84"/>
      <c r="D32" s="84"/>
      <c r="E32" s="84">
        <v>0</v>
      </c>
      <c r="F32" s="84">
        <v>0</v>
      </c>
      <c r="G32" s="84"/>
      <c r="H32" s="84">
        <v>0</v>
      </c>
      <c r="I32" s="84">
        <v>0</v>
      </c>
      <c r="J32" s="84">
        <v>0</v>
      </c>
      <c r="K32" s="84">
        <v>0</v>
      </c>
      <c r="L32" s="80">
        <v>0</v>
      </c>
      <c r="M32" s="81">
        <v>0</v>
      </c>
    </row>
    <row r="33" spans="1:13">
      <c r="A33" s="82">
        <v>7</v>
      </c>
      <c r="B33" s="83" t="s">
        <v>20</v>
      </c>
      <c r="C33" s="84"/>
      <c r="D33" s="84"/>
      <c r="E33" s="84">
        <v>0</v>
      </c>
      <c r="F33" s="84">
        <v>0</v>
      </c>
      <c r="G33" s="84"/>
      <c r="H33" s="84">
        <v>0</v>
      </c>
      <c r="I33" s="84">
        <v>0</v>
      </c>
      <c r="J33" s="84">
        <v>0</v>
      </c>
      <c r="K33" s="84">
        <v>0</v>
      </c>
      <c r="L33" s="80">
        <v>0</v>
      </c>
      <c r="M33" s="81">
        <v>0</v>
      </c>
    </row>
    <row r="34" spans="1:13">
      <c r="A34" s="82">
        <v>8</v>
      </c>
      <c r="B34" s="83" t="s">
        <v>21</v>
      </c>
      <c r="C34" s="84"/>
      <c r="D34" s="84"/>
      <c r="E34" s="84">
        <v>0</v>
      </c>
      <c r="F34" s="84">
        <v>0</v>
      </c>
      <c r="G34" s="84"/>
      <c r="H34" s="84">
        <v>0</v>
      </c>
      <c r="I34" s="84">
        <v>0</v>
      </c>
      <c r="J34" s="84">
        <v>0</v>
      </c>
      <c r="K34" s="84">
        <v>0</v>
      </c>
      <c r="L34" s="80">
        <v>0</v>
      </c>
      <c r="M34" s="81">
        <v>0</v>
      </c>
    </row>
    <row r="35" spans="1:13">
      <c r="A35" s="82">
        <v>9</v>
      </c>
      <c r="B35" s="83" t="s">
        <v>22</v>
      </c>
      <c r="C35" s="84"/>
      <c r="D35" s="84"/>
      <c r="E35" s="84">
        <v>0</v>
      </c>
      <c r="F35" s="84">
        <v>0</v>
      </c>
      <c r="G35" s="84"/>
      <c r="H35" s="84">
        <v>0</v>
      </c>
      <c r="I35" s="84">
        <v>0</v>
      </c>
      <c r="J35" s="84">
        <v>0</v>
      </c>
      <c r="K35" s="84">
        <v>0</v>
      </c>
      <c r="L35" s="80">
        <v>0</v>
      </c>
      <c r="M35" s="81">
        <v>0</v>
      </c>
    </row>
    <row r="36" spans="1:13">
      <c r="A36" s="82">
        <v>10</v>
      </c>
      <c r="B36" s="83" t="s">
        <v>23</v>
      </c>
      <c r="C36" s="84"/>
      <c r="D36" s="84"/>
      <c r="E36" s="84">
        <v>0</v>
      </c>
      <c r="F36" s="84">
        <v>0</v>
      </c>
      <c r="G36" s="84"/>
      <c r="H36" s="84">
        <v>0</v>
      </c>
      <c r="I36" s="84">
        <v>0</v>
      </c>
      <c r="J36" s="84">
        <v>0</v>
      </c>
      <c r="K36" s="84">
        <v>0</v>
      </c>
      <c r="L36" s="80">
        <v>0</v>
      </c>
      <c r="M36" s="81">
        <v>0</v>
      </c>
    </row>
    <row r="37" spans="1:13">
      <c r="A37" s="82">
        <v>11</v>
      </c>
      <c r="B37" s="83" t="s">
        <v>24</v>
      </c>
      <c r="C37" s="84"/>
      <c r="D37" s="84"/>
      <c r="E37" s="84">
        <v>0</v>
      </c>
      <c r="F37" s="84">
        <v>0</v>
      </c>
      <c r="G37" s="84"/>
      <c r="H37" s="84">
        <v>0</v>
      </c>
      <c r="I37" s="84">
        <v>0</v>
      </c>
      <c r="J37" s="84">
        <v>0</v>
      </c>
      <c r="K37" s="84">
        <v>0</v>
      </c>
      <c r="L37" s="80">
        <v>0</v>
      </c>
      <c r="M37" s="81">
        <v>0</v>
      </c>
    </row>
    <row r="38" ht="14.25" spans="1:13">
      <c r="A38" s="85">
        <v>12</v>
      </c>
      <c r="B38" s="86" t="s">
        <v>25</v>
      </c>
      <c r="C38" s="121"/>
      <c r="D38" s="121"/>
      <c r="E38" s="121">
        <v>0</v>
      </c>
      <c r="F38" s="121">
        <v>0</v>
      </c>
      <c r="G38" s="121"/>
      <c r="H38" s="121">
        <v>0</v>
      </c>
      <c r="I38" s="121">
        <v>0</v>
      </c>
      <c r="J38" s="121">
        <v>0</v>
      </c>
      <c r="K38" s="121">
        <v>0</v>
      </c>
      <c r="L38" s="80">
        <v>0</v>
      </c>
      <c r="M38" s="81">
        <v>0</v>
      </c>
    </row>
    <row r="39" ht="15" spans="1:13">
      <c r="A39" s="87" t="s">
        <v>26</v>
      </c>
      <c r="B39" s="88"/>
      <c r="C39" s="88">
        <f>SUM(C27:C38)</f>
        <v>4</v>
      </c>
      <c r="D39" s="88">
        <f>SUM(D27:D38)</f>
        <v>81</v>
      </c>
      <c r="E39" s="88">
        <f>SUM(E27:E38)</f>
        <v>0</v>
      </c>
      <c r="F39" s="122">
        <f t="shared" ref="F39:M39" si="2">SUM(F27:F38)</f>
        <v>0</v>
      </c>
      <c r="G39" s="122">
        <f t="shared" si="2"/>
        <v>94</v>
      </c>
      <c r="H39" s="88">
        <f t="shared" si="2"/>
        <v>0</v>
      </c>
      <c r="I39" s="88">
        <f t="shared" si="2"/>
        <v>0</v>
      </c>
      <c r="J39" s="89">
        <f t="shared" si="2"/>
        <v>0</v>
      </c>
      <c r="K39" s="88">
        <f t="shared" si="2"/>
        <v>0</v>
      </c>
      <c r="L39" s="89">
        <f t="shared" ref="L39" si="3">SUM(L27:L38)</f>
        <v>0</v>
      </c>
      <c r="M39" s="90">
        <f t="shared" si="2"/>
        <v>0</v>
      </c>
    </row>
    <row r="40" ht="15"/>
    <row r="41" ht="15" spans="1:13">
      <c r="A41" s="118" t="s">
        <v>28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20"/>
    </row>
    <row r="42" ht="14.25" spans="1:13">
      <c r="A42" s="112" t="s">
        <v>4</v>
      </c>
      <c r="B42" s="58" t="s">
        <v>5</v>
      </c>
      <c r="C42" s="58" t="s">
        <v>34</v>
      </c>
      <c r="D42" s="58" t="s">
        <v>35</v>
      </c>
      <c r="E42" s="59" t="s">
        <v>36</v>
      </c>
      <c r="F42" s="60"/>
      <c r="G42" s="60"/>
      <c r="H42" s="61"/>
      <c r="I42" s="62" t="s">
        <v>37</v>
      </c>
      <c r="J42" s="113"/>
      <c r="K42" s="62" t="s">
        <v>38</v>
      </c>
      <c r="L42" s="63"/>
      <c r="M42" s="64"/>
    </row>
    <row r="43" spans="1:13">
      <c r="A43" s="65"/>
      <c r="B43" s="66"/>
      <c r="C43" s="66"/>
      <c r="D43" s="66"/>
      <c r="E43" s="67" t="s">
        <v>39</v>
      </c>
      <c r="F43" s="68"/>
      <c r="G43" s="67" t="s">
        <v>40</v>
      </c>
      <c r="H43" s="68"/>
      <c r="I43" s="69"/>
      <c r="J43" s="114"/>
      <c r="K43" s="69"/>
      <c r="L43" s="70"/>
      <c r="M43" s="71"/>
    </row>
    <row r="44" ht="14.25" spans="1:13">
      <c r="A44" s="115"/>
      <c r="B44" s="74"/>
      <c r="C44" s="74"/>
      <c r="D44" s="74"/>
      <c r="E44" s="74" t="s">
        <v>41</v>
      </c>
      <c r="F44" s="74" t="s">
        <v>42</v>
      </c>
      <c r="G44" s="74" t="s">
        <v>41</v>
      </c>
      <c r="H44" s="74" t="s">
        <v>42</v>
      </c>
      <c r="I44" s="74" t="s">
        <v>43</v>
      </c>
      <c r="J44" s="75" t="s">
        <v>44</v>
      </c>
      <c r="K44" s="74" t="s">
        <v>43</v>
      </c>
      <c r="L44" s="75" t="s">
        <v>44</v>
      </c>
      <c r="M44" s="76" t="s">
        <v>45</v>
      </c>
    </row>
    <row r="45" ht="14.25" spans="1:13">
      <c r="A45" s="77">
        <v>1</v>
      </c>
      <c r="B45" s="78" t="s">
        <v>14</v>
      </c>
      <c r="C45" s="79">
        <v>3</v>
      </c>
      <c r="D45" s="79">
        <v>250</v>
      </c>
      <c r="E45" s="79">
        <v>69</v>
      </c>
      <c r="F45" s="79">
        <v>0</v>
      </c>
      <c r="G45" s="79">
        <v>30</v>
      </c>
      <c r="H45" s="79">
        <v>0</v>
      </c>
      <c r="I45" s="79">
        <v>0</v>
      </c>
      <c r="J45" s="79">
        <v>0</v>
      </c>
      <c r="K45" s="79">
        <v>0</v>
      </c>
      <c r="L45" s="80">
        <v>0</v>
      </c>
      <c r="M45" s="81">
        <v>0</v>
      </c>
    </row>
    <row r="46" spans="1:13">
      <c r="A46" s="82">
        <v>2</v>
      </c>
      <c r="B46" s="83" t="s">
        <v>15</v>
      </c>
      <c r="C46" s="84">
        <v>3</v>
      </c>
      <c r="D46" s="84">
        <v>77</v>
      </c>
      <c r="E46" s="84">
        <v>28</v>
      </c>
      <c r="F46" s="84">
        <v>0</v>
      </c>
      <c r="G46" s="84">
        <v>50</v>
      </c>
      <c r="H46" s="84">
        <v>0</v>
      </c>
      <c r="I46" s="84">
        <v>0</v>
      </c>
      <c r="J46" s="84">
        <v>0</v>
      </c>
      <c r="K46" s="84">
        <v>0</v>
      </c>
      <c r="L46" s="80">
        <v>0</v>
      </c>
      <c r="M46" s="81">
        <v>0</v>
      </c>
    </row>
    <row r="47" spans="1:13">
      <c r="A47" s="82">
        <v>3</v>
      </c>
      <c r="B47" s="83" t="s">
        <v>16</v>
      </c>
      <c r="C47" s="84"/>
      <c r="D47" s="84"/>
      <c r="E47" s="84"/>
      <c r="F47" s="84">
        <v>0</v>
      </c>
      <c r="G47" s="84"/>
      <c r="H47" s="84">
        <v>0</v>
      </c>
      <c r="I47" s="84">
        <v>0</v>
      </c>
      <c r="J47" s="84">
        <v>0</v>
      </c>
      <c r="K47" s="84">
        <v>0</v>
      </c>
      <c r="L47" s="80">
        <v>0</v>
      </c>
      <c r="M47" s="81">
        <v>0</v>
      </c>
    </row>
    <row r="48" spans="1:13">
      <c r="A48" s="82">
        <v>4</v>
      </c>
      <c r="B48" s="83" t="s">
        <v>17</v>
      </c>
      <c r="C48" s="84"/>
      <c r="D48" s="84"/>
      <c r="E48" s="84"/>
      <c r="F48" s="84">
        <v>0</v>
      </c>
      <c r="G48" s="84"/>
      <c r="H48" s="84">
        <v>0</v>
      </c>
      <c r="I48" s="84">
        <v>0</v>
      </c>
      <c r="J48" s="84">
        <v>0</v>
      </c>
      <c r="K48" s="84">
        <v>0</v>
      </c>
      <c r="L48" s="80">
        <v>0</v>
      </c>
      <c r="M48" s="81">
        <v>0</v>
      </c>
    </row>
    <row r="49" spans="1:13">
      <c r="A49" s="82">
        <v>5</v>
      </c>
      <c r="B49" s="83" t="s">
        <v>18</v>
      </c>
      <c r="C49" s="84"/>
      <c r="D49" s="84"/>
      <c r="E49" s="84"/>
      <c r="F49" s="84">
        <v>0</v>
      </c>
      <c r="G49" s="84"/>
      <c r="H49" s="84">
        <v>0</v>
      </c>
      <c r="I49" s="84">
        <v>0</v>
      </c>
      <c r="J49" s="84">
        <v>0</v>
      </c>
      <c r="K49" s="84">
        <v>0</v>
      </c>
      <c r="L49" s="80">
        <v>0</v>
      </c>
      <c r="M49" s="81">
        <v>0</v>
      </c>
    </row>
    <row r="50" spans="1:13">
      <c r="A50" s="82">
        <v>6</v>
      </c>
      <c r="B50" s="83" t="s">
        <v>19</v>
      </c>
      <c r="C50" s="84"/>
      <c r="D50" s="84"/>
      <c r="E50" s="84"/>
      <c r="F50" s="84">
        <v>0</v>
      </c>
      <c r="G50" s="84"/>
      <c r="H50" s="84">
        <v>0</v>
      </c>
      <c r="I50" s="84">
        <v>0</v>
      </c>
      <c r="J50" s="84">
        <v>0</v>
      </c>
      <c r="K50" s="84">
        <v>0</v>
      </c>
      <c r="L50" s="80">
        <v>0</v>
      </c>
      <c r="M50" s="81">
        <v>0</v>
      </c>
    </row>
    <row r="51" spans="1:13">
      <c r="A51" s="82">
        <v>7</v>
      </c>
      <c r="B51" s="83" t="s">
        <v>20</v>
      </c>
      <c r="C51" s="84"/>
      <c r="D51" s="84"/>
      <c r="E51" s="84"/>
      <c r="F51" s="84">
        <v>0</v>
      </c>
      <c r="G51" s="84"/>
      <c r="H51" s="84">
        <v>0</v>
      </c>
      <c r="I51" s="84">
        <v>0</v>
      </c>
      <c r="J51" s="84">
        <v>0</v>
      </c>
      <c r="K51" s="84">
        <v>0</v>
      </c>
      <c r="L51" s="80">
        <v>0</v>
      </c>
      <c r="M51" s="81">
        <v>0</v>
      </c>
    </row>
    <row r="52" spans="1:13">
      <c r="A52" s="82">
        <v>8</v>
      </c>
      <c r="B52" s="83" t="s">
        <v>21</v>
      </c>
      <c r="C52" s="84"/>
      <c r="D52" s="84"/>
      <c r="E52" s="84"/>
      <c r="F52" s="84">
        <v>0</v>
      </c>
      <c r="G52" s="84"/>
      <c r="H52" s="84">
        <v>0</v>
      </c>
      <c r="I52" s="84">
        <v>0</v>
      </c>
      <c r="J52" s="84">
        <v>0</v>
      </c>
      <c r="K52" s="84">
        <v>0</v>
      </c>
      <c r="L52" s="80">
        <v>0</v>
      </c>
      <c r="M52" s="81">
        <v>0</v>
      </c>
    </row>
    <row r="53" spans="1:13">
      <c r="A53" s="82">
        <v>9</v>
      </c>
      <c r="B53" s="83" t="s">
        <v>22</v>
      </c>
      <c r="C53" s="84"/>
      <c r="D53" s="84"/>
      <c r="E53" s="84"/>
      <c r="F53" s="84">
        <v>0</v>
      </c>
      <c r="G53" s="84"/>
      <c r="H53" s="84">
        <v>0</v>
      </c>
      <c r="I53" s="84">
        <v>0</v>
      </c>
      <c r="J53" s="84">
        <v>0</v>
      </c>
      <c r="K53" s="84">
        <v>0</v>
      </c>
      <c r="L53" s="80">
        <v>0</v>
      </c>
      <c r="M53" s="81">
        <v>0</v>
      </c>
    </row>
    <row r="54" spans="1:13">
      <c r="A54" s="82">
        <v>10</v>
      </c>
      <c r="B54" s="83" t="s">
        <v>23</v>
      </c>
      <c r="C54" s="84"/>
      <c r="D54" s="84"/>
      <c r="E54" s="84"/>
      <c r="F54" s="84">
        <v>0</v>
      </c>
      <c r="G54" s="84"/>
      <c r="H54" s="84">
        <v>0</v>
      </c>
      <c r="I54" s="84">
        <v>0</v>
      </c>
      <c r="J54" s="84">
        <v>0</v>
      </c>
      <c r="K54" s="84">
        <v>0</v>
      </c>
      <c r="L54" s="80">
        <v>0</v>
      </c>
      <c r="M54" s="81">
        <v>0</v>
      </c>
    </row>
    <row r="55" spans="1:13">
      <c r="A55" s="82">
        <v>11</v>
      </c>
      <c r="B55" s="83" t="s">
        <v>24</v>
      </c>
      <c r="C55" s="84"/>
      <c r="D55" s="84"/>
      <c r="E55" s="84"/>
      <c r="F55" s="84">
        <v>0</v>
      </c>
      <c r="G55" s="84"/>
      <c r="H55" s="84">
        <v>0</v>
      </c>
      <c r="I55" s="84">
        <v>0</v>
      </c>
      <c r="J55" s="84">
        <v>0</v>
      </c>
      <c r="K55" s="84">
        <v>0</v>
      </c>
      <c r="L55" s="80">
        <v>0</v>
      </c>
      <c r="M55" s="81">
        <v>0</v>
      </c>
    </row>
    <row r="56" ht="14.25" spans="1:13">
      <c r="A56" s="85">
        <v>12</v>
      </c>
      <c r="B56" s="86" t="s">
        <v>25</v>
      </c>
      <c r="C56" s="121"/>
      <c r="D56" s="121"/>
      <c r="E56" s="121"/>
      <c r="F56" s="121">
        <v>0</v>
      </c>
      <c r="G56" s="121"/>
      <c r="H56" s="121">
        <v>0</v>
      </c>
      <c r="I56" s="121">
        <v>0</v>
      </c>
      <c r="J56" s="121">
        <v>0</v>
      </c>
      <c r="K56" s="121">
        <v>0</v>
      </c>
      <c r="L56" s="80">
        <v>0</v>
      </c>
      <c r="M56" s="81">
        <v>0</v>
      </c>
    </row>
    <row r="57" ht="15" spans="1:13">
      <c r="A57" s="87" t="s">
        <v>26</v>
      </c>
      <c r="B57" s="88"/>
      <c r="C57" s="88">
        <f>SUM(C45:C56)</f>
        <v>6</v>
      </c>
      <c r="D57" s="88">
        <f>SUM(D45:D56)</f>
        <v>327</v>
      </c>
      <c r="E57" s="88">
        <f>SUM(E45:E56)</f>
        <v>97</v>
      </c>
      <c r="F57" s="122">
        <f t="shared" ref="F57:M57" si="4">SUM(F45:F56)</f>
        <v>0</v>
      </c>
      <c r="G57" s="122">
        <f t="shared" si="4"/>
        <v>80</v>
      </c>
      <c r="H57" s="88">
        <f t="shared" si="4"/>
        <v>0</v>
      </c>
      <c r="I57" s="88">
        <f t="shared" si="4"/>
        <v>0</v>
      </c>
      <c r="J57" s="89">
        <f t="shared" si="4"/>
        <v>0</v>
      </c>
      <c r="K57" s="88">
        <f t="shared" si="4"/>
        <v>0</v>
      </c>
      <c r="L57" s="89">
        <f t="shared" ref="L57" si="5">SUM(L45:L56)</f>
        <v>0</v>
      </c>
      <c r="M57" s="90">
        <f t="shared" si="4"/>
        <v>0</v>
      </c>
    </row>
    <row r="58" ht="15"/>
    <row r="59" ht="15" spans="1:13">
      <c r="A59" s="118" t="s">
        <v>29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20"/>
    </row>
    <row r="60" ht="14.25" spans="1:13">
      <c r="A60" s="112" t="s">
        <v>4</v>
      </c>
      <c r="B60" s="58" t="s">
        <v>5</v>
      </c>
      <c r="C60" s="58" t="s">
        <v>34</v>
      </c>
      <c r="D60" s="58" t="s">
        <v>35</v>
      </c>
      <c r="E60" s="59" t="s">
        <v>36</v>
      </c>
      <c r="F60" s="60"/>
      <c r="G60" s="60"/>
      <c r="H60" s="61"/>
      <c r="I60" s="62" t="s">
        <v>37</v>
      </c>
      <c r="J60" s="113"/>
      <c r="K60" s="62" t="s">
        <v>38</v>
      </c>
      <c r="L60" s="63"/>
      <c r="M60" s="64"/>
    </row>
    <row r="61" spans="1:13">
      <c r="A61" s="65"/>
      <c r="B61" s="66"/>
      <c r="C61" s="66"/>
      <c r="D61" s="66"/>
      <c r="E61" s="67" t="s">
        <v>39</v>
      </c>
      <c r="F61" s="68"/>
      <c r="G61" s="67" t="s">
        <v>40</v>
      </c>
      <c r="H61" s="68"/>
      <c r="I61" s="69"/>
      <c r="J61" s="114"/>
      <c r="K61" s="69"/>
      <c r="L61" s="70"/>
      <c r="M61" s="71"/>
    </row>
    <row r="62" ht="14.25" spans="1:13">
      <c r="A62" s="115"/>
      <c r="B62" s="74"/>
      <c r="C62" s="74"/>
      <c r="D62" s="74"/>
      <c r="E62" s="74" t="s">
        <v>41</v>
      </c>
      <c r="F62" s="74" t="s">
        <v>42</v>
      </c>
      <c r="G62" s="74" t="s">
        <v>41</v>
      </c>
      <c r="H62" s="74" t="s">
        <v>42</v>
      </c>
      <c r="I62" s="74" t="s">
        <v>43</v>
      </c>
      <c r="J62" s="75" t="s">
        <v>44</v>
      </c>
      <c r="K62" s="74" t="s">
        <v>43</v>
      </c>
      <c r="L62" s="75" t="s">
        <v>44</v>
      </c>
      <c r="M62" s="76" t="s">
        <v>45</v>
      </c>
    </row>
    <row r="63" ht="14.25" spans="1:13">
      <c r="A63" s="77">
        <v>1</v>
      </c>
      <c r="B63" s="78" t="s">
        <v>14</v>
      </c>
      <c r="C63" s="79">
        <v>6</v>
      </c>
      <c r="D63" s="79">
        <v>516</v>
      </c>
      <c r="E63" s="79">
        <v>171</v>
      </c>
      <c r="F63" s="79">
        <v>0</v>
      </c>
      <c r="G63" s="79">
        <v>6</v>
      </c>
      <c r="H63" s="79">
        <v>0</v>
      </c>
      <c r="I63" s="79">
        <v>0</v>
      </c>
      <c r="J63" s="79">
        <v>50</v>
      </c>
      <c r="K63" s="79">
        <v>0</v>
      </c>
      <c r="L63" s="80">
        <v>0</v>
      </c>
      <c r="M63" s="81">
        <v>0</v>
      </c>
    </row>
    <row r="64" spans="1:13">
      <c r="A64" s="82">
        <v>2</v>
      </c>
      <c r="B64" s="83" t="s">
        <v>15</v>
      </c>
      <c r="C64" s="84">
        <v>6</v>
      </c>
      <c r="D64" s="84">
        <v>801</v>
      </c>
      <c r="E64" s="84">
        <v>144</v>
      </c>
      <c r="F64" s="84">
        <v>0</v>
      </c>
      <c r="G64" s="84">
        <v>6</v>
      </c>
      <c r="H64" s="84">
        <v>0</v>
      </c>
      <c r="I64" s="84">
        <v>0</v>
      </c>
      <c r="J64" s="84">
        <v>30</v>
      </c>
      <c r="K64" s="84">
        <v>0</v>
      </c>
      <c r="L64" s="80">
        <v>0</v>
      </c>
      <c r="M64" s="81">
        <v>0</v>
      </c>
    </row>
    <row r="65" spans="1:13">
      <c r="A65" s="82">
        <v>3</v>
      </c>
      <c r="B65" s="83" t="s">
        <v>16</v>
      </c>
      <c r="C65" s="84"/>
      <c r="D65" s="84"/>
      <c r="E65" s="84"/>
      <c r="F65" s="84">
        <v>0</v>
      </c>
      <c r="G65" s="84"/>
      <c r="H65" s="84">
        <v>0</v>
      </c>
      <c r="I65" s="84">
        <v>0</v>
      </c>
      <c r="J65" s="84"/>
      <c r="K65" s="84">
        <v>0</v>
      </c>
      <c r="L65" s="80">
        <v>0</v>
      </c>
      <c r="M65" s="81">
        <v>0</v>
      </c>
    </row>
    <row r="66" spans="1:13">
      <c r="A66" s="82">
        <v>4</v>
      </c>
      <c r="B66" s="83" t="s">
        <v>17</v>
      </c>
      <c r="C66" s="84"/>
      <c r="D66" s="84"/>
      <c r="E66" s="84"/>
      <c r="F66" s="84">
        <v>0</v>
      </c>
      <c r="G66" s="84"/>
      <c r="H66" s="84">
        <v>0</v>
      </c>
      <c r="I66" s="84">
        <v>0</v>
      </c>
      <c r="J66" s="84"/>
      <c r="K66" s="84">
        <v>0</v>
      </c>
      <c r="L66" s="80">
        <v>0</v>
      </c>
      <c r="M66" s="81">
        <v>0</v>
      </c>
    </row>
    <row r="67" spans="1:13">
      <c r="A67" s="82">
        <v>5</v>
      </c>
      <c r="B67" s="83" t="s">
        <v>18</v>
      </c>
      <c r="C67" s="84"/>
      <c r="D67" s="84"/>
      <c r="E67" s="84"/>
      <c r="F67" s="84">
        <v>0</v>
      </c>
      <c r="G67" s="84"/>
      <c r="H67" s="84">
        <v>0</v>
      </c>
      <c r="I67" s="84">
        <v>0</v>
      </c>
      <c r="J67" s="84"/>
      <c r="K67" s="84">
        <v>0</v>
      </c>
      <c r="L67" s="80">
        <v>0</v>
      </c>
      <c r="M67" s="81">
        <v>0</v>
      </c>
    </row>
    <row r="68" spans="1:13">
      <c r="A68" s="82">
        <v>6</v>
      </c>
      <c r="B68" s="83" t="s">
        <v>19</v>
      </c>
      <c r="C68" s="84"/>
      <c r="D68" s="84"/>
      <c r="E68" s="84"/>
      <c r="F68" s="84">
        <v>0</v>
      </c>
      <c r="G68" s="84"/>
      <c r="H68" s="84">
        <v>0</v>
      </c>
      <c r="I68" s="84">
        <v>0</v>
      </c>
      <c r="J68" s="84"/>
      <c r="K68" s="84">
        <v>0</v>
      </c>
      <c r="L68" s="80">
        <v>0</v>
      </c>
      <c r="M68" s="81">
        <v>0</v>
      </c>
    </row>
    <row r="69" spans="1:13">
      <c r="A69" s="82">
        <v>7</v>
      </c>
      <c r="B69" s="83" t="s">
        <v>20</v>
      </c>
      <c r="C69" s="84"/>
      <c r="D69" s="84"/>
      <c r="E69" s="84"/>
      <c r="F69" s="84">
        <v>0</v>
      </c>
      <c r="G69" s="84"/>
      <c r="H69" s="84">
        <v>0</v>
      </c>
      <c r="I69" s="84">
        <v>0</v>
      </c>
      <c r="J69" s="84"/>
      <c r="K69" s="84">
        <v>0</v>
      </c>
      <c r="L69" s="80">
        <v>0</v>
      </c>
      <c r="M69" s="81">
        <v>0</v>
      </c>
    </row>
    <row r="70" spans="1:13">
      <c r="A70" s="82">
        <v>8</v>
      </c>
      <c r="B70" s="83" t="s">
        <v>21</v>
      </c>
      <c r="C70" s="84"/>
      <c r="D70" s="84"/>
      <c r="E70" s="84"/>
      <c r="F70" s="84">
        <v>0</v>
      </c>
      <c r="G70" s="84"/>
      <c r="H70" s="84">
        <v>0</v>
      </c>
      <c r="I70" s="84">
        <v>0</v>
      </c>
      <c r="J70" s="84"/>
      <c r="K70" s="84">
        <v>0</v>
      </c>
      <c r="L70" s="80">
        <v>0</v>
      </c>
      <c r="M70" s="81">
        <v>0</v>
      </c>
    </row>
    <row r="71" spans="1:13">
      <c r="A71" s="82">
        <v>9</v>
      </c>
      <c r="B71" s="83" t="s">
        <v>22</v>
      </c>
      <c r="C71" s="84"/>
      <c r="D71" s="84"/>
      <c r="E71" s="84"/>
      <c r="F71" s="84">
        <v>0</v>
      </c>
      <c r="G71" s="84"/>
      <c r="H71" s="84">
        <v>0</v>
      </c>
      <c r="I71" s="84">
        <v>0</v>
      </c>
      <c r="J71" s="84"/>
      <c r="K71" s="84">
        <v>0</v>
      </c>
      <c r="L71" s="80">
        <v>0</v>
      </c>
      <c r="M71" s="81">
        <v>0</v>
      </c>
    </row>
    <row r="72" spans="1:13">
      <c r="A72" s="82">
        <v>10</v>
      </c>
      <c r="B72" s="83" t="s">
        <v>23</v>
      </c>
      <c r="C72" s="84"/>
      <c r="D72" s="84"/>
      <c r="E72" s="84"/>
      <c r="F72" s="84">
        <v>0</v>
      </c>
      <c r="G72" s="84"/>
      <c r="H72" s="84">
        <v>0</v>
      </c>
      <c r="I72" s="84">
        <v>0</v>
      </c>
      <c r="J72" s="84"/>
      <c r="K72" s="84">
        <v>0</v>
      </c>
      <c r="L72" s="80">
        <v>0</v>
      </c>
      <c r="M72" s="81">
        <v>0</v>
      </c>
    </row>
    <row r="73" spans="1:13">
      <c r="A73" s="82">
        <v>11</v>
      </c>
      <c r="B73" s="83" t="s">
        <v>24</v>
      </c>
      <c r="C73" s="84"/>
      <c r="D73" s="84"/>
      <c r="E73" s="84"/>
      <c r="F73" s="84">
        <v>0</v>
      </c>
      <c r="G73" s="84"/>
      <c r="H73" s="84">
        <v>0</v>
      </c>
      <c r="I73" s="84">
        <v>0</v>
      </c>
      <c r="J73" s="84"/>
      <c r="K73" s="84">
        <v>0</v>
      </c>
      <c r="L73" s="80">
        <v>0</v>
      </c>
      <c r="M73" s="81">
        <v>0</v>
      </c>
    </row>
    <row r="74" ht="14.25" spans="1:13">
      <c r="A74" s="85">
        <v>12</v>
      </c>
      <c r="B74" s="86" t="s">
        <v>25</v>
      </c>
      <c r="C74" s="121"/>
      <c r="D74" s="121"/>
      <c r="E74" s="121"/>
      <c r="F74" s="121">
        <v>0</v>
      </c>
      <c r="G74" s="121"/>
      <c r="H74" s="121">
        <v>0</v>
      </c>
      <c r="I74" s="121">
        <v>0</v>
      </c>
      <c r="J74" s="121"/>
      <c r="K74" s="121">
        <v>0</v>
      </c>
      <c r="L74" s="80">
        <v>0</v>
      </c>
      <c r="M74" s="81">
        <v>0</v>
      </c>
    </row>
    <row r="75" ht="15" spans="1:13">
      <c r="A75" s="87" t="s">
        <v>26</v>
      </c>
      <c r="B75" s="88"/>
      <c r="C75" s="88">
        <f>SUM(C63:C74)</f>
        <v>12</v>
      </c>
      <c r="D75" s="88">
        <f>SUM(D63:D74)</f>
        <v>1317</v>
      </c>
      <c r="E75" s="88">
        <f>SUM(E63:E74)</f>
        <v>315</v>
      </c>
      <c r="F75" s="122">
        <f t="shared" ref="F75:M75" si="6">SUM(F63:F74)</f>
        <v>0</v>
      </c>
      <c r="G75" s="122">
        <f t="shared" si="6"/>
        <v>12</v>
      </c>
      <c r="H75" s="88">
        <f t="shared" si="6"/>
        <v>0</v>
      </c>
      <c r="I75" s="88">
        <f t="shared" si="6"/>
        <v>0</v>
      </c>
      <c r="J75" s="89">
        <f t="shared" si="6"/>
        <v>80</v>
      </c>
      <c r="K75" s="88">
        <f t="shared" si="6"/>
        <v>0</v>
      </c>
      <c r="L75" s="89">
        <f t="shared" ref="L75" si="7">SUM(L63:L74)</f>
        <v>0</v>
      </c>
      <c r="M75" s="90">
        <f t="shared" si="6"/>
        <v>0</v>
      </c>
    </row>
    <row r="76" ht="15"/>
    <row r="77" ht="15" spans="1:13">
      <c r="A77" s="118" t="s">
        <v>30</v>
      </c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20"/>
    </row>
    <row r="78" ht="14.25" spans="1:13">
      <c r="A78" s="112" t="s">
        <v>4</v>
      </c>
      <c r="B78" s="58" t="s">
        <v>5</v>
      </c>
      <c r="C78" s="58" t="s">
        <v>34</v>
      </c>
      <c r="D78" s="58" t="s">
        <v>35</v>
      </c>
      <c r="E78" s="59" t="s">
        <v>36</v>
      </c>
      <c r="F78" s="60"/>
      <c r="G78" s="60"/>
      <c r="H78" s="61"/>
      <c r="I78" s="62" t="s">
        <v>37</v>
      </c>
      <c r="J78" s="113"/>
      <c r="K78" s="62" t="s">
        <v>38</v>
      </c>
      <c r="L78" s="63"/>
      <c r="M78" s="64"/>
    </row>
    <row r="79" spans="1:13">
      <c r="A79" s="65"/>
      <c r="B79" s="66"/>
      <c r="C79" s="66"/>
      <c r="D79" s="66"/>
      <c r="E79" s="67" t="s">
        <v>39</v>
      </c>
      <c r="F79" s="68"/>
      <c r="G79" s="67" t="s">
        <v>40</v>
      </c>
      <c r="H79" s="68"/>
      <c r="I79" s="69"/>
      <c r="J79" s="114"/>
      <c r="K79" s="69"/>
      <c r="L79" s="70"/>
      <c r="M79" s="71"/>
    </row>
    <row r="80" ht="14.25" spans="1:13">
      <c r="A80" s="115"/>
      <c r="B80" s="74"/>
      <c r="C80" s="74"/>
      <c r="D80" s="74"/>
      <c r="E80" s="74" t="s">
        <v>41</v>
      </c>
      <c r="F80" s="74" t="s">
        <v>42</v>
      </c>
      <c r="G80" s="74" t="s">
        <v>41</v>
      </c>
      <c r="H80" s="74" t="s">
        <v>42</v>
      </c>
      <c r="I80" s="74" t="s">
        <v>43</v>
      </c>
      <c r="J80" s="75" t="s">
        <v>44</v>
      </c>
      <c r="K80" s="74" t="s">
        <v>43</v>
      </c>
      <c r="L80" s="75" t="s">
        <v>44</v>
      </c>
      <c r="M80" s="76" t="s">
        <v>45</v>
      </c>
    </row>
    <row r="81" ht="14.25" spans="1:13">
      <c r="A81" s="77">
        <v>1</v>
      </c>
      <c r="B81" s="78" t="s">
        <v>14</v>
      </c>
      <c r="C81" s="79">
        <v>2</v>
      </c>
      <c r="D81" s="79">
        <v>290</v>
      </c>
      <c r="E81" s="79">
        <v>50</v>
      </c>
      <c r="F81" s="79">
        <v>0</v>
      </c>
      <c r="G81" s="79">
        <v>65</v>
      </c>
      <c r="H81" s="79">
        <v>0</v>
      </c>
      <c r="I81" s="79">
        <v>0</v>
      </c>
      <c r="J81" s="79">
        <v>0</v>
      </c>
      <c r="K81" s="79">
        <v>0</v>
      </c>
      <c r="L81" s="80">
        <v>0</v>
      </c>
      <c r="M81" s="81">
        <v>0</v>
      </c>
    </row>
    <row r="82" spans="1:13">
      <c r="A82" s="82">
        <v>2</v>
      </c>
      <c r="B82" s="83" t="s">
        <v>15</v>
      </c>
      <c r="C82" s="84">
        <v>1</v>
      </c>
      <c r="D82" s="84">
        <v>45</v>
      </c>
      <c r="E82" s="84">
        <v>2</v>
      </c>
      <c r="F82" s="84">
        <v>0</v>
      </c>
      <c r="G82" s="84">
        <v>72</v>
      </c>
      <c r="H82" s="84">
        <v>0</v>
      </c>
      <c r="I82" s="84">
        <v>0</v>
      </c>
      <c r="J82" s="84">
        <v>0</v>
      </c>
      <c r="K82" s="84">
        <v>0</v>
      </c>
      <c r="L82" s="80">
        <v>0</v>
      </c>
      <c r="M82" s="81">
        <v>0</v>
      </c>
    </row>
    <row r="83" spans="1:13">
      <c r="A83" s="82">
        <v>3</v>
      </c>
      <c r="B83" s="83" t="s">
        <v>16</v>
      </c>
      <c r="C83" s="84"/>
      <c r="D83" s="84"/>
      <c r="E83" s="84"/>
      <c r="F83" s="84">
        <v>0</v>
      </c>
      <c r="G83" s="84"/>
      <c r="H83" s="84">
        <v>0</v>
      </c>
      <c r="I83" s="84">
        <v>0</v>
      </c>
      <c r="J83" s="84"/>
      <c r="K83" s="84">
        <v>0</v>
      </c>
      <c r="L83" s="80">
        <v>0</v>
      </c>
      <c r="M83" s="81">
        <v>0</v>
      </c>
    </row>
    <row r="84" spans="1:13">
      <c r="A84" s="82">
        <v>4</v>
      </c>
      <c r="B84" s="83" t="s">
        <v>17</v>
      </c>
      <c r="C84" s="84"/>
      <c r="D84" s="84"/>
      <c r="E84" s="84"/>
      <c r="F84" s="84">
        <v>0</v>
      </c>
      <c r="G84" s="84"/>
      <c r="H84" s="84">
        <v>0</v>
      </c>
      <c r="I84" s="84">
        <v>0</v>
      </c>
      <c r="J84" s="84"/>
      <c r="K84" s="84">
        <v>0</v>
      </c>
      <c r="L84" s="80">
        <v>0</v>
      </c>
      <c r="M84" s="81">
        <v>0</v>
      </c>
    </row>
    <row r="85" spans="1:13">
      <c r="A85" s="82">
        <v>5</v>
      </c>
      <c r="B85" s="83" t="s">
        <v>18</v>
      </c>
      <c r="C85" s="84"/>
      <c r="D85" s="84"/>
      <c r="E85" s="84"/>
      <c r="F85" s="84">
        <v>0</v>
      </c>
      <c r="G85" s="84"/>
      <c r="H85" s="84">
        <v>0</v>
      </c>
      <c r="I85" s="84">
        <v>0</v>
      </c>
      <c r="J85" s="84"/>
      <c r="K85" s="84">
        <v>0</v>
      </c>
      <c r="L85" s="80">
        <v>0</v>
      </c>
      <c r="M85" s="81">
        <v>0</v>
      </c>
    </row>
    <row r="86" spans="1:13">
      <c r="A86" s="82">
        <v>6</v>
      </c>
      <c r="B86" s="83" t="s">
        <v>19</v>
      </c>
      <c r="C86" s="84"/>
      <c r="D86" s="84"/>
      <c r="E86" s="84"/>
      <c r="F86" s="84">
        <v>0</v>
      </c>
      <c r="G86" s="84"/>
      <c r="H86" s="84">
        <v>0</v>
      </c>
      <c r="I86" s="84">
        <v>0</v>
      </c>
      <c r="J86" s="84"/>
      <c r="K86" s="84">
        <v>0</v>
      </c>
      <c r="L86" s="80">
        <v>0</v>
      </c>
      <c r="M86" s="81">
        <v>0</v>
      </c>
    </row>
    <row r="87" spans="1:13">
      <c r="A87" s="82">
        <v>7</v>
      </c>
      <c r="B87" s="83" t="s">
        <v>20</v>
      </c>
      <c r="C87" s="84"/>
      <c r="D87" s="84"/>
      <c r="E87" s="84"/>
      <c r="F87" s="84">
        <v>0</v>
      </c>
      <c r="G87" s="84"/>
      <c r="H87" s="84">
        <v>0</v>
      </c>
      <c r="I87" s="84">
        <v>0</v>
      </c>
      <c r="J87" s="84"/>
      <c r="K87" s="84">
        <v>0</v>
      </c>
      <c r="L87" s="80">
        <v>0</v>
      </c>
      <c r="M87" s="81">
        <v>0</v>
      </c>
    </row>
    <row r="88" spans="1:13">
      <c r="A88" s="82">
        <v>8</v>
      </c>
      <c r="B88" s="83" t="s">
        <v>21</v>
      </c>
      <c r="C88" s="84"/>
      <c r="D88" s="84"/>
      <c r="E88" s="84"/>
      <c r="F88" s="84">
        <v>0</v>
      </c>
      <c r="G88" s="84"/>
      <c r="H88" s="84">
        <v>0</v>
      </c>
      <c r="I88" s="84">
        <v>0</v>
      </c>
      <c r="J88" s="84"/>
      <c r="K88" s="84">
        <v>0</v>
      </c>
      <c r="L88" s="80">
        <v>0</v>
      </c>
      <c r="M88" s="81">
        <v>0</v>
      </c>
    </row>
    <row r="89" spans="1:13">
      <c r="A89" s="82">
        <v>9</v>
      </c>
      <c r="B89" s="83" t="s">
        <v>22</v>
      </c>
      <c r="C89" s="84"/>
      <c r="D89" s="84"/>
      <c r="E89" s="84"/>
      <c r="F89" s="84">
        <v>0</v>
      </c>
      <c r="G89" s="84"/>
      <c r="H89" s="84">
        <v>0</v>
      </c>
      <c r="I89" s="84">
        <v>0</v>
      </c>
      <c r="J89" s="84"/>
      <c r="K89" s="84">
        <v>0</v>
      </c>
      <c r="L89" s="80">
        <v>0</v>
      </c>
      <c r="M89" s="81">
        <v>0</v>
      </c>
    </row>
    <row r="90" spans="1:13">
      <c r="A90" s="82">
        <v>10</v>
      </c>
      <c r="B90" s="83" t="s">
        <v>23</v>
      </c>
      <c r="C90" s="84"/>
      <c r="D90" s="84"/>
      <c r="E90" s="84"/>
      <c r="F90" s="84">
        <v>0</v>
      </c>
      <c r="G90" s="84"/>
      <c r="H90" s="84">
        <v>0</v>
      </c>
      <c r="I90" s="84">
        <v>0</v>
      </c>
      <c r="J90" s="84"/>
      <c r="K90" s="84">
        <v>0</v>
      </c>
      <c r="L90" s="80">
        <v>0</v>
      </c>
      <c r="M90" s="81">
        <v>0</v>
      </c>
    </row>
    <row r="91" spans="1:13">
      <c r="A91" s="82">
        <v>11</v>
      </c>
      <c r="B91" s="83" t="s">
        <v>24</v>
      </c>
      <c r="C91" s="84"/>
      <c r="D91" s="84"/>
      <c r="E91" s="84"/>
      <c r="F91" s="84">
        <v>0</v>
      </c>
      <c r="G91" s="84"/>
      <c r="H91" s="84">
        <v>0</v>
      </c>
      <c r="I91" s="84">
        <v>0</v>
      </c>
      <c r="J91" s="84"/>
      <c r="K91" s="84">
        <v>0</v>
      </c>
      <c r="L91" s="80">
        <v>0</v>
      </c>
      <c r="M91" s="81">
        <v>0</v>
      </c>
    </row>
    <row r="92" ht="14.25" spans="1:13">
      <c r="A92" s="85">
        <v>12</v>
      </c>
      <c r="B92" s="86" t="s">
        <v>25</v>
      </c>
      <c r="C92" s="121"/>
      <c r="D92" s="121"/>
      <c r="E92" s="121"/>
      <c r="F92" s="121">
        <v>0</v>
      </c>
      <c r="G92" s="121"/>
      <c r="H92" s="121">
        <v>0</v>
      </c>
      <c r="I92" s="121">
        <v>0</v>
      </c>
      <c r="J92" s="121"/>
      <c r="K92" s="121">
        <v>0</v>
      </c>
      <c r="L92" s="80">
        <v>0</v>
      </c>
      <c r="M92" s="81">
        <v>0</v>
      </c>
    </row>
    <row r="93" ht="15" spans="1:13">
      <c r="A93" s="87" t="s">
        <v>26</v>
      </c>
      <c r="B93" s="88"/>
      <c r="C93" s="88">
        <f>SUM(C81:C92)</f>
        <v>3</v>
      </c>
      <c r="D93" s="88">
        <f>SUM(D81:D92)</f>
        <v>335</v>
      </c>
      <c r="E93" s="88">
        <f>SUM(E81:E92)</f>
        <v>52</v>
      </c>
      <c r="F93" s="122">
        <f t="shared" ref="F93:M93" si="8">SUM(F81:F92)</f>
        <v>0</v>
      </c>
      <c r="G93" s="122">
        <f t="shared" si="8"/>
        <v>137</v>
      </c>
      <c r="H93" s="88">
        <f t="shared" si="8"/>
        <v>0</v>
      </c>
      <c r="I93" s="88">
        <f t="shared" si="8"/>
        <v>0</v>
      </c>
      <c r="J93" s="89">
        <f t="shared" si="8"/>
        <v>0</v>
      </c>
      <c r="K93" s="88">
        <f t="shared" si="8"/>
        <v>0</v>
      </c>
      <c r="L93" s="89">
        <f t="shared" ref="L93" si="9">SUM(L81:L92)</f>
        <v>0</v>
      </c>
      <c r="M93" s="90">
        <f t="shared" si="8"/>
        <v>0</v>
      </c>
    </row>
    <row r="94" ht="15"/>
    <row r="95" ht="15" spans="1:13">
      <c r="A95" s="118" t="s">
        <v>31</v>
      </c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20"/>
    </row>
    <row r="96" ht="14.25" spans="1:13">
      <c r="A96" s="112" t="s">
        <v>4</v>
      </c>
      <c r="B96" s="58" t="s">
        <v>5</v>
      </c>
      <c r="C96" s="58" t="s">
        <v>34</v>
      </c>
      <c r="D96" s="58" t="s">
        <v>35</v>
      </c>
      <c r="E96" s="59" t="s">
        <v>36</v>
      </c>
      <c r="F96" s="60"/>
      <c r="G96" s="60"/>
      <c r="H96" s="61"/>
      <c r="I96" s="62" t="s">
        <v>37</v>
      </c>
      <c r="J96" s="113"/>
      <c r="K96" s="62" t="s">
        <v>38</v>
      </c>
      <c r="L96" s="63"/>
      <c r="M96" s="64"/>
    </row>
    <row r="97" spans="1:13">
      <c r="A97" s="65"/>
      <c r="B97" s="66"/>
      <c r="C97" s="66"/>
      <c r="D97" s="66"/>
      <c r="E97" s="67" t="s">
        <v>39</v>
      </c>
      <c r="F97" s="68"/>
      <c r="G97" s="67" t="s">
        <v>40</v>
      </c>
      <c r="H97" s="68"/>
      <c r="I97" s="69"/>
      <c r="J97" s="114"/>
      <c r="K97" s="69"/>
      <c r="L97" s="70"/>
      <c r="M97" s="71"/>
    </row>
    <row r="98" ht="14.25" spans="1:13">
      <c r="A98" s="115"/>
      <c r="B98" s="74"/>
      <c r="C98" s="74"/>
      <c r="D98" s="74"/>
      <c r="E98" s="74" t="s">
        <v>41</v>
      </c>
      <c r="F98" s="74" t="s">
        <v>42</v>
      </c>
      <c r="G98" s="74" t="s">
        <v>41</v>
      </c>
      <c r="H98" s="74" t="s">
        <v>42</v>
      </c>
      <c r="I98" s="74" t="s">
        <v>43</v>
      </c>
      <c r="J98" s="75" t="s">
        <v>44</v>
      </c>
      <c r="K98" s="74" t="s">
        <v>43</v>
      </c>
      <c r="L98" s="75" t="s">
        <v>44</v>
      </c>
      <c r="M98" s="76" t="s">
        <v>45</v>
      </c>
    </row>
    <row r="99" ht="14.25" spans="1:13">
      <c r="A99" s="77">
        <v>1</v>
      </c>
      <c r="B99" s="78" t="s">
        <v>14</v>
      </c>
      <c r="C99" s="79">
        <v>1</v>
      </c>
      <c r="D99" s="79">
        <v>164</v>
      </c>
      <c r="E99" s="79">
        <v>360</v>
      </c>
      <c r="F99" s="79">
        <v>0</v>
      </c>
      <c r="G99" s="79">
        <v>0</v>
      </c>
      <c r="H99" s="79">
        <v>0</v>
      </c>
      <c r="I99" s="79">
        <v>0</v>
      </c>
      <c r="J99" s="79">
        <v>0</v>
      </c>
      <c r="K99" s="79">
        <v>0</v>
      </c>
      <c r="L99" s="80">
        <v>0</v>
      </c>
      <c r="M99" s="81">
        <v>0</v>
      </c>
    </row>
    <row r="100" spans="1:13">
      <c r="A100" s="82">
        <v>2</v>
      </c>
      <c r="B100" s="83" t="s">
        <v>15</v>
      </c>
      <c r="C100" s="84">
        <v>0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84">
        <v>0</v>
      </c>
      <c r="K100" s="84">
        <v>0</v>
      </c>
      <c r="L100" s="80">
        <v>0</v>
      </c>
      <c r="M100" s="81">
        <v>0</v>
      </c>
    </row>
    <row r="101" spans="1:13">
      <c r="A101" s="82">
        <v>3</v>
      </c>
      <c r="B101" s="83" t="s">
        <v>16</v>
      </c>
      <c r="C101" s="84"/>
      <c r="D101" s="84"/>
      <c r="E101" s="84"/>
      <c r="F101" s="84">
        <v>0</v>
      </c>
      <c r="G101" s="84"/>
      <c r="H101" s="84">
        <v>0</v>
      </c>
      <c r="I101" s="84">
        <v>0</v>
      </c>
      <c r="J101" s="84">
        <v>0</v>
      </c>
      <c r="K101" s="84">
        <v>0</v>
      </c>
      <c r="L101" s="80">
        <v>0</v>
      </c>
      <c r="M101" s="81">
        <v>0</v>
      </c>
    </row>
    <row r="102" spans="1:13">
      <c r="A102" s="82">
        <v>4</v>
      </c>
      <c r="B102" s="83" t="s">
        <v>17</v>
      </c>
      <c r="C102" s="84"/>
      <c r="D102" s="84"/>
      <c r="E102" s="84"/>
      <c r="F102" s="84">
        <v>0</v>
      </c>
      <c r="G102" s="84"/>
      <c r="H102" s="84">
        <v>0</v>
      </c>
      <c r="I102" s="84">
        <v>0</v>
      </c>
      <c r="J102" s="84">
        <v>0</v>
      </c>
      <c r="K102" s="84">
        <v>0</v>
      </c>
      <c r="L102" s="80">
        <v>0</v>
      </c>
      <c r="M102" s="81">
        <v>0</v>
      </c>
    </row>
    <row r="103" spans="1:13">
      <c r="A103" s="82">
        <v>5</v>
      </c>
      <c r="B103" s="83" t="s">
        <v>18</v>
      </c>
      <c r="C103" s="84"/>
      <c r="D103" s="84"/>
      <c r="E103" s="84"/>
      <c r="F103" s="84">
        <v>0</v>
      </c>
      <c r="G103" s="84"/>
      <c r="H103" s="84">
        <v>0</v>
      </c>
      <c r="I103" s="84">
        <v>0</v>
      </c>
      <c r="J103" s="84">
        <v>0</v>
      </c>
      <c r="K103" s="84">
        <v>0</v>
      </c>
      <c r="L103" s="80">
        <v>0</v>
      </c>
      <c r="M103" s="81">
        <v>0</v>
      </c>
    </row>
    <row r="104" spans="1:13">
      <c r="A104" s="82">
        <v>6</v>
      </c>
      <c r="B104" s="83" t="s">
        <v>19</v>
      </c>
      <c r="C104" s="84"/>
      <c r="D104" s="84"/>
      <c r="E104" s="84"/>
      <c r="F104" s="84">
        <v>0</v>
      </c>
      <c r="G104" s="84"/>
      <c r="H104" s="84">
        <v>0</v>
      </c>
      <c r="I104" s="84">
        <v>0</v>
      </c>
      <c r="J104" s="84">
        <v>0</v>
      </c>
      <c r="K104" s="84">
        <v>0</v>
      </c>
      <c r="L104" s="80">
        <v>0</v>
      </c>
      <c r="M104" s="81">
        <v>0</v>
      </c>
    </row>
    <row r="105" spans="1:13">
      <c r="A105" s="82">
        <v>7</v>
      </c>
      <c r="B105" s="83" t="s">
        <v>20</v>
      </c>
      <c r="C105" s="84"/>
      <c r="D105" s="84"/>
      <c r="E105" s="84"/>
      <c r="F105" s="84">
        <v>0</v>
      </c>
      <c r="G105" s="84"/>
      <c r="H105" s="84">
        <v>0</v>
      </c>
      <c r="I105" s="84">
        <v>0</v>
      </c>
      <c r="J105" s="84">
        <v>0</v>
      </c>
      <c r="K105" s="84">
        <v>0</v>
      </c>
      <c r="L105" s="80">
        <v>0</v>
      </c>
      <c r="M105" s="81">
        <v>0</v>
      </c>
    </row>
    <row r="106" spans="1:13">
      <c r="A106" s="82">
        <v>8</v>
      </c>
      <c r="B106" s="83" t="s">
        <v>21</v>
      </c>
      <c r="C106" s="84"/>
      <c r="D106" s="84"/>
      <c r="E106" s="84"/>
      <c r="F106" s="84">
        <v>0</v>
      </c>
      <c r="G106" s="84"/>
      <c r="H106" s="84">
        <v>0</v>
      </c>
      <c r="I106" s="84">
        <v>0</v>
      </c>
      <c r="J106" s="84">
        <v>0</v>
      </c>
      <c r="K106" s="84">
        <v>0</v>
      </c>
      <c r="L106" s="80">
        <v>0</v>
      </c>
      <c r="M106" s="81">
        <v>0</v>
      </c>
    </row>
    <row r="107" spans="1:13">
      <c r="A107" s="82">
        <v>9</v>
      </c>
      <c r="B107" s="83" t="s">
        <v>22</v>
      </c>
      <c r="C107" s="84"/>
      <c r="D107" s="84"/>
      <c r="E107" s="84"/>
      <c r="F107" s="84">
        <v>0</v>
      </c>
      <c r="G107" s="84"/>
      <c r="H107" s="84">
        <v>0</v>
      </c>
      <c r="I107" s="84">
        <v>0</v>
      </c>
      <c r="J107" s="84">
        <v>0</v>
      </c>
      <c r="K107" s="84">
        <v>0</v>
      </c>
      <c r="L107" s="80">
        <v>0</v>
      </c>
      <c r="M107" s="81">
        <v>0</v>
      </c>
    </row>
    <row r="108" spans="1:13">
      <c r="A108" s="82">
        <v>10</v>
      </c>
      <c r="B108" s="83" t="s">
        <v>23</v>
      </c>
      <c r="C108" s="84"/>
      <c r="D108" s="84"/>
      <c r="E108" s="84"/>
      <c r="F108" s="84">
        <v>0</v>
      </c>
      <c r="G108" s="84"/>
      <c r="H108" s="84">
        <v>0</v>
      </c>
      <c r="I108" s="84">
        <v>0</v>
      </c>
      <c r="J108" s="84">
        <v>0</v>
      </c>
      <c r="K108" s="84">
        <v>0</v>
      </c>
      <c r="L108" s="80">
        <v>0</v>
      </c>
      <c r="M108" s="81">
        <v>0</v>
      </c>
    </row>
    <row r="109" spans="1:13">
      <c r="A109" s="82">
        <v>11</v>
      </c>
      <c r="B109" s="83" t="s">
        <v>24</v>
      </c>
      <c r="C109" s="84"/>
      <c r="D109" s="84"/>
      <c r="E109" s="84"/>
      <c r="F109" s="84">
        <v>0</v>
      </c>
      <c r="G109" s="84"/>
      <c r="H109" s="84">
        <v>0</v>
      </c>
      <c r="I109" s="84">
        <v>0</v>
      </c>
      <c r="J109" s="84">
        <v>0</v>
      </c>
      <c r="K109" s="84">
        <v>0</v>
      </c>
      <c r="L109" s="80">
        <v>0</v>
      </c>
      <c r="M109" s="81">
        <v>0</v>
      </c>
    </row>
    <row r="110" ht="14.25" spans="1:13">
      <c r="A110" s="85">
        <v>12</v>
      </c>
      <c r="B110" s="86" t="s">
        <v>25</v>
      </c>
      <c r="C110" s="121"/>
      <c r="D110" s="121"/>
      <c r="E110" s="121"/>
      <c r="F110" s="121">
        <v>0</v>
      </c>
      <c r="G110" s="121"/>
      <c r="H110" s="121">
        <v>0</v>
      </c>
      <c r="I110" s="121">
        <v>0</v>
      </c>
      <c r="J110" s="121">
        <v>0</v>
      </c>
      <c r="K110" s="121">
        <v>0</v>
      </c>
      <c r="L110" s="80">
        <v>0</v>
      </c>
      <c r="M110" s="81">
        <v>0</v>
      </c>
    </row>
    <row r="111" ht="15" spans="1:13">
      <c r="A111" s="87" t="s">
        <v>26</v>
      </c>
      <c r="B111" s="88"/>
      <c r="C111" s="88">
        <f>SUM(C99:C110)</f>
        <v>1</v>
      </c>
      <c r="D111" s="88">
        <f>SUM(D99:D110)</f>
        <v>164</v>
      </c>
      <c r="E111" s="88">
        <f>SUM(E99:E110)</f>
        <v>360</v>
      </c>
      <c r="F111" s="122">
        <f t="shared" ref="F111:M111" si="10">SUM(F99:F110)</f>
        <v>0</v>
      </c>
      <c r="G111" s="122">
        <f t="shared" si="10"/>
        <v>0</v>
      </c>
      <c r="H111" s="88">
        <f t="shared" si="10"/>
        <v>0</v>
      </c>
      <c r="I111" s="88">
        <f t="shared" si="10"/>
        <v>0</v>
      </c>
      <c r="J111" s="89">
        <f t="shared" si="10"/>
        <v>0</v>
      </c>
      <c r="K111" s="88">
        <f t="shared" si="10"/>
        <v>0</v>
      </c>
      <c r="L111" s="89">
        <f t="shared" ref="L111" si="11">SUM(L99:L110)</f>
        <v>0</v>
      </c>
      <c r="M111" s="90">
        <f t="shared" si="10"/>
        <v>0</v>
      </c>
    </row>
    <row r="112" ht="15"/>
    <row r="113" ht="15" spans="1:13">
      <c r="A113" s="92" t="s">
        <v>46</v>
      </c>
      <c r="B113" s="93"/>
      <c r="C113" s="93">
        <f>SUM(C21,C39,C57,C75,C93,C111)</f>
        <v>54</v>
      </c>
      <c r="D113" s="93">
        <f t="shared" ref="D113:M113" si="12">SUM(D21,D39,D57,D75,D93,D111)</f>
        <v>4221</v>
      </c>
      <c r="E113" s="93">
        <f t="shared" si="12"/>
        <v>1593</v>
      </c>
      <c r="F113" s="93">
        <f t="shared" si="12"/>
        <v>960</v>
      </c>
      <c r="G113" s="93">
        <f t="shared" si="12"/>
        <v>546</v>
      </c>
      <c r="H113" s="93">
        <f t="shared" si="12"/>
        <v>0</v>
      </c>
      <c r="I113" s="93">
        <f t="shared" si="12"/>
        <v>0</v>
      </c>
      <c r="J113" s="93">
        <f t="shared" si="12"/>
        <v>110</v>
      </c>
      <c r="K113" s="93">
        <f t="shared" si="12"/>
        <v>23</v>
      </c>
      <c r="L113" s="93">
        <f t="shared" si="12"/>
        <v>5</v>
      </c>
      <c r="M113" s="93">
        <f t="shared" si="12"/>
        <v>0</v>
      </c>
    </row>
    <row r="114" ht="14.25"/>
  </sheetData>
  <mergeCells count="71">
    <mergeCell ref="A1:M1"/>
    <mergeCell ref="A2:M2"/>
    <mergeCell ref="A3:M3"/>
    <mergeCell ref="A5:M5"/>
    <mergeCell ref="E6:H6"/>
    <mergeCell ref="E7:F7"/>
    <mergeCell ref="G7:H7"/>
    <mergeCell ref="A21:B21"/>
    <mergeCell ref="A22:M22"/>
    <mergeCell ref="A23:M23"/>
    <mergeCell ref="E24:H24"/>
    <mergeCell ref="E25:F25"/>
    <mergeCell ref="G25:H25"/>
    <mergeCell ref="A39:B39"/>
    <mergeCell ref="A41:M41"/>
    <mergeCell ref="E42:H42"/>
    <mergeCell ref="E43:F43"/>
    <mergeCell ref="G43:H43"/>
    <mergeCell ref="A57:B57"/>
    <mergeCell ref="A59:M59"/>
    <mergeCell ref="E60:H60"/>
    <mergeCell ref="E61:F61"/>
    <mergeCell ref="G61:H61"/>
    <mergeCell ref="A75:B75"/>
    <mergeCell ref="A77:M77"/>
    <mergeCell ref="E78:H78"/>
    <mergeCell ref="E79:F79"/>
    <mergeCell ref="G79:H79"/>
    <mergeCell ref="A93:B93"/>
    <mergeCell ref="A95:M95"/>
    <mergeCell ref="E96:H96"/>
    <mergeCell ref="E97:F97"/>
    <mergeCell ref="G97:H97"/>
    <mergeCell ref="A111:B111"/>
    <mergeCell ref="A113:B113"/>
    <mergeCell ref="A6:A8"/>
    <mergeCell ref="A24:A26"/>
    <mergeCell ref="A42:A44"/>
    <mergeCell ref="A60:A62"/>
    <mergeCell ref="A78:A80"/>
    <mergeCell ref="A96:A98"/>
    <mergeCell ref="B6:B8"/>
    <mergeCell ref="B24:B26"/>
    <mergeCell ref="B42:B44"/>
    <mergeCell ref="B60:B62"/>
    <mergeCell ref="B78:B80"/>
    <mergeCell ref="B96:B98"/>
    <mergeCell ref="C6:C8"/>
    <mergeCell ref="C24:C26"/>
    <mergeCell ref="C42:C44"/>
    <mergeCell ref="C60:C62"/>
    <mergeCell ref="C78:C80"/>
    <mergeCell ref="C96:C98"/>
    <mergeCell ref="D6:D8"/>
    <mergeCell ref="D24:D26"/>
    <mergeCell ref="D42:D44"/>
    <mergeCell ref="D60:D62"/>
    <mergeCell ref="D78:D80"/>
    <mergeCell ref="D96:D98"/>
    <mergeCell ref="I6:J7"/>
    <mergeCell ref="K6:M7"/>
    <mergeCell ref="I24:J25"/>
    <mergeCell ref="K24:M25"/>
    <mergeCell ref="I78:J79"/>
    <mergeCell ref="K78:M79"/>
    <mergeCell ref="I42:J43"/>
    <mergeCell ref="K42:M43"/>
    <mergeCell ref="I60:J61"/>
    <mergeCell ref="K60:M61"/>
    <mergeCell ref="I96:J97"/>
    <mergeCell ref="K96:M97"/>
  </mergeCells>
  <printOptions horizontalCentered="1"/>
  <pageMargins left="0.5" right="0.25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O114"/>
  <sheetViews>
    <sheetView showWhiteSpace="0" workbookViewId="0">
      <selection activeCell="K101" sqref="K101"/>
    </sheetView>
  </sheetViews>
  <sheetFormatPr defaultColWidth="9" defaultRowHeight="13.5"/>
  <cols>
    <col min="1" max="1" width="6.88571428571429" style="1" customWidth="1"/>
    <col min="2" max="2" width="24" style="1" customWidth="1"/>
    <col min="3" max="13" width="13.4380952380952" style="1" customWidth="1"/>
    <col min="14" max="14" width="9" style="1"/>
    <col min="15" max="15" width="11" style="1" customWidth="1"/>
    <col min="16" max="16384" width="9" style="1"/>
  </cols>
  <sheetData>
    <row r="1" ht="14.25" spans="1:13">
      <c r="A1" s="55" t="s">
        <v>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ht="14.25" spans="1:1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ht="14.25" spans="1:13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ht="15" spans="1:1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ht="15" spans="1:13">
      <c r="A5" s="109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1"/>
    </row>
    <row r="6" ht="17.25" customHeight="1" spans="1:13">
      <c r="A6" s="112" t="s">
        <v>4</v>
      </c>
      <c r="B6" s="58" t="s">
        <v>5</v>
      </c>
      <c r="C6" s="58" t="s">
        <v>34</v>
      </c>
      <c r="D6" s="58" t="s">
        <v>35</v>
      </c>
      <c r="E6" s="59" t="s">
        <v>36</v>
      </c>
      <c r="F6" s="60"/>
      <c r="G6" s="60"/>
      <c r="H6" s="61"/>
      <c r="I6" s="62" t="s">
        <v>38</v>
      </c>
      <c r="J6" s="63"/>
      <c r="K6" s="113"/>
      <c r="L6" s="62" t="s">
        <v>48</v>
      </c>
      <c r="M6" s="64"/>
    </row>
    <row r="7" ht="17.25" customHeight="1" spans="1:13">
      <c r="A7" s="65"/>
      <c r="B7" s="66"/>
      <c r="C7" s="66"/>
      <c r="D7" s="66"/>
      <c r="E7" s="67" t="s">
        <v>39</v>
      </c>
      <c r="F7" s="68"/>
      <c r="G7" s="67" t="s">
        <v>40</v>
      </c>
      <c r="H7" s="68"/>
      <c r="I7" s="69"/>
      <c r="J7" s="70"/>
      <c r="K7" s="114"/>
      <c r="L7" s="69"/>
      <c r="M7" s="71"/>
    </row>
    <row r="8" ht="17.25" customHeight="1" spans="1:13">
      <c r="A8" s="115"/>
      <c r="B8" s="74"/>
      <c r="C8" s="74"/>
      <c r="D8" s="74"/>
      <c r="E8" s="74" t="s">
        <v>41</v>
      </c>
      <c r="F8" s="74" t="s">
        <v>42</v>
      </c>
      <c r="G8" s="74" t="s">
        <v>41</v>
      </c>
      <c r="H8" s="74" t="s">
        <v>42</v>
      </c>
      <c r="I8" s="74" t="s">
        <v>43</v>
      </c>
      <c r="J8" s="75" t="s">
        <v>44</v>
      </c>
      <c r="K8" s="75" t="s">
        <v>45</v>
      </c>
      <c r="L8" s="74" t="s">
        <v>43</v>
      </c>
      <c r="M8" s="116" t="s">
        <v>44</v>
      </c>
    </row>
    <row r="9" ht="14.25" spans="1:13">
      <c r="A9" s="77">
        <v>1</v>
      </c>
      <c r="B9" s="78" t="s">
        <v>14</v>
      </c>
      <c r="C9" s="79">
        <v>11</v>
      </c>
      <c r="D9" s="79">
        <v>21359</v>
      </c>
      <c r="E9" s="79">
        <v>4</v>
      </c>
      <c r="F9" s="79">
        <v>0</v>
      </c>
      <c r="G9" s="79">
        <v>1</v>
      </c>
      <c r="H9" s="79">
        <v>0</v>
      </c>
      <c r="I9" s="79">
        <v>867</v>
      </c>
      <c r="J9" s="79">
        <v>321</v>
      </c>
      <c r="K9" s="79">
        <v>679</v>
      </c>
      <c r="L9" s="79">
        <v>4</v>
      </c>
      <c r="M9" s="101">
        <v>6</v>
      </c>
    </row>
    <row r="10" spans="1:13">
      <c r="A10" s="82">
        <v>2</v>
      </c>
      <c r="B10" s="83" t="s">
        <v>15</v>
      </c>
      <c r="C10" s="84">
        <v>11</v>
      </c>
      <c r="D10" s="79">
        <v>21359</v>
      </c>
      <c r="E10" s="84">
        <v>14</v>
      </c>
      <c r="F10" s="79">
        <v>0</v>
      </c>
      <c r="G10" s="84">
        <v>3</v>
      </c>
      <c r="H10" s="79">
        <v>0</v>
      </c>
      <c r="I10" s="84">
        <v>390</v>
      </c>
      <c r="J10" s="84">
        <v>275</v>
      </c>
      <c r="K10" s="84">
        <v>575</v>
      </c>
      <c r="L10" s="84">
        <v>4</v>
      </c>
      <c r="M10" s="103">
        <v>8</v>
      </c>
    </row>
    <row r="11" spans="1:13">
      <c r="A11" s="82">
        <v>3</v>
      </c>
      <c r="B11" s="83" t="s">
        <v>16</v>
      </c>
      <c r="C11" s="84"/>
      <c r="D11" s="84"/>
      <c r="E11" s="84"/>
      <c r="F11" s="79">
        <v>0</v>
      </c>
      <c r="G11" s="84"/>
      <c r="H11" s="79">
        <v>0</v>
      </c>
      <c r="I11" s="84"/>
      <c r="J11" s="84"/>
      <c r="K11" s="84"/>
      <c r="L11" s="84"/>
      <c r="M11" s="103"/>
    </row>
    <row r="12" spans="1:13">
      <c r="A12" s="82">
        <v>4</v>
      </c>
      <c r="B12" s="83" t="s">
        <v>17</v>
      </c>
      <c r="C12" s="84"/>
      <c r="D12" s="84"/>
      <c r="E12" s="84"/>
      <c r="F12" s="79">
        <v>0</v>
      </c>
      <c r="G12" s="84"/>
      <c r="H12" s="79">
        <v>0</v>
      </c>
      <c r="I12" s="84"/>
      <c r="J12" s="84"/>
      <c r="K12" s="84"/>
      <c r="L12" s="84"/>
      <c r="M12" s="103"/>
    </row>
    <row r="13" spans="1:13">
      <c r="A13" s="82">
        <v>5</v>
      </c>
      <c r="B13" s="83" t="s">
        <v>18</v>
      </c>
      <c r="C13" s="84"/>
      <c r="D13" s="84"/>
      <c r="E13" s="84"/>
      <c r="F13" s="79">
        <v>0</v>
      </c>
      <c r="G13" s="84"/>
      <c r="H13" s="79">
        <v>0</v>
      </c>
      <c r="I13" s="84"/>
      <c r="J13" s="84"/>
      <c r="K13" s="84"/>
      <c r="L13" s="84"/>
      <c r="M13" s="103"/>
    </row>
    <row r="14" spans="1:13">
      <c r="A14" s="82">
        <v>6</v>
      </c>
      <c r="B14" s="83" t="s">
        <v>19</v>
      </c>
      <c r="C14" s="84"/>
      <c r="D14" s="84"/>
      <c r="E14" s="84"/>
      <c r="F14" s="79">
        <v>0</v>
      </c>
      <c r="G14" s="84"/>
      <c r="H14" s="79">
        <v>0</v>
      </c>
      <c r="I14" s="84"/>
      <c r="J14" s="84"/>
      <c r="K14" s="84"/>
      <c r="L14" s="84"/>
      <c r="M14" s="103"/>
    </row>
    <row r="15" spans="1:13">
      <c r="A15" s="82">
        <v>7</v>
      </c>
      <c r="B15" s="83" t="s">
        <v>20</v>
      </c>
      <c r="C15" s="84"/>
      <c r="D15" s="84"/>
      <c r="E15" s="84"/>
      <c r="F15" s="79">
        <v>0</v>
      </c>
      <c r="G15" s="84"/>
      <c r="H15" s="79">
        <v>0</v>
      </c>
      <c r="I15" s="84"/>
      <c r="J15" s="84"/>
      <c r="K15" s="84"/>
      <c r="L15" s="84"/>
      <c r="M15" s="103"/>
    </row>
    <row r="16" spans="1:13">
      <c r="A16" s="82">
        <v>8</v>
      </c>
      <c r="B16" s="83" t="s">
        <v>21</v>
      </c>
      <c r="C16" s="84"/>
      <c r="D16" s="84"/>
      <c r="E16" s="84"/>
      <c r="F16" s="79">
        <v>0</v>
      </c>
      <c r="G16" s="84"/>
      <c r="H16" s="79">
        <v>0</v>
      </c>
      <c r="I16" s="84"/>
      <c r="J16" s="84"/>
      <c r="K16" s="84"/>
      <c r="L16" s="84"/>
      <c r="M16" s="103"/>
    </row>
    <row r="17" spans="1:13">
      <c r="A17" s="82">
        <v>9</v>
      </c>
      <c r="B17" s="83" t="s">
        <v>22</v>
      </c>
      <c r="C17" s="84"/>
      <c r="D17" s="84"/>
      <c r="E17" s="84"/>
      <c r="F17" s="79">
        <v>0</v>
      </c>
      <c r="G17" s="84"/>
      <c r="H17" s="79">
        <v>0</v>
      </c>
      <c r="I17" s="84"/>
      <c r="J17" s="84"/>
      <c r="K17" s="84"/>
      <c r="L17" s="84"/>
      <c r="M17" s="103"/>
    </row>
    <row r="18" spans="1:13">
      <c r="A18" s="82">
        <v>10</v>
      </c>
      <c r="B18" s="83" t="s">
        <v>23</v>
      </c>
      <c r="C18" s="84"/>
      <c r="D18" s="84"/>
      <c r="E18" s="84"/>
      <c r="F18" s="79">
        <v>0</v>
      </c>
      <c r="G18" s="84"/>
      <c r="H18" s="79">
        <v>0</v>
      </c>
      <c r="I18" s="84"/>
      <c r="J18" s="84"/>
      <c r="K18" s="84"/>
      <c r="L18" s="84"/>
      <c r="M18" s="103"/>
    </row>
    <row r="19" spans="1:13">
      <c r="A19" s="82">
        <v>11</v>
      </c>
      <c r="B19" s="83" t="s">
        <v>24</v>
      </c>
      <c r="C19" s="84"/>
      <c r="D19" s="84"/>
      <c r="E19" s="84"/>
      <c r="F19" s="79">
        <v>0</v>
      </c>
      <c r="G19" s="84"/>
      <c r="H19" s="79">
        <v>0</v>
      </c>
      <c r="I19" s="84"/>
      <c r="J19" s="84"/>
      <c r="K19" s="84"/>
      <c r="L19" s="84"/>
      <c r="M19" s="103"/>
    </row>
    <row r="20" ht="14.25" spans="1:13">
      <c r="A20" s="85">
        <v>12</v>
      </c>
      <c r="B20" s="86" t="s">
        <v>25</v>
      </c>
      <c r="C20" s="84"/>
      <c r="D20" s="84"/>
      <c r="E20" s="84"/>
      <c r="F20" s="79">
        <v>0</v>
      </c>
      <c r="G20" s="84"/>
      <c r="H20" s="79">
        <v>0</v>
      </c>
      <c r="I20" s="84"/>
      <c r="J20" s="84"/>
      <c r="K20" s="84"/>
      <c r="L20" s="84"/>
      <c r="M20" s="103"/>
    </row>
    <row r="21" ht="17.25" customHeight="1" spans="1:13">
      <c r="A21" s="87" t="s">
        <v>26</v>
      </c>
      <c r="B21" s="88"/>
      <c r="C21" s="88">
        <f t="shared" ref="C21:M21" si="0">SUM(C9:C20)</f>
        <v>22</v>
      </c>
      <c r="D21" s="88">
        <f t="shared" si="0"/>
        <v>42718</v>
      </c>
      <c r="E21" s="88">
        <f t="shared" si="0"/>
        <v>18</v>
      </c>
      <c r="F21" s="88">
        <f t="shared" si="0"/>
        <v>0</v>
      </c>
      <c r="G21" s="88">
        <f t="shared" si="0"/>
        <v>4</v>
      </c>
      <c r="H21" s="88">
        <f t="shared" si="0"/>
        <v>0</v>
      </c>
      <c r="I21" s="88">
        <f t="shared" si="0"/>
        <v>1257</v>
      </c>
      <c r="J21" s="88">
        <f t="shared" ref="J21" si="1">SUM(J9:J20)</f>
        <v>596</v>
      </c>
      <c r="K21" s="88">
        <f t="shared" si="0"/>
        <v>1254</v>
      </c>
      <c r="L21" s="88">
        <f t="shared" si="0"/>
        <v>8</v>
      </c>
      <c r="M21" s="90">
        <f t="shared" si="0"/>
        <v>14</v>
      </c>
    </row>
    <row r="22" ht="15" spans="1:13">
      <c r="A22" s="91"/>
      <c r="B22" s="91"/>
      <c r="C22" s="91"/>
      <c r="L22" s="91"/>
      <c r="M22" s="91"/>
    </row>
    <row r="23" ht="15" spans="1:13">
      <c r="A23" s="109" t="s">
        <v>27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1"/>
    </row>
    <row r="24" ht="14.25" spans="1:13">
      <c r="A24" s="112" t="s">
        <v>4</v>
      </c>
      <c r="B24" s="58" t="s">
        <v>5</v>
      </c>
      <c r="C24" s="58" t="s">
        <v>34</v>
      </c>
      <c r="D24" s="58" t="s">
        <v>35</v>
      </c>
      <c r="E24" s="59" t="s">
        <v>36</v>
      </c>
      <c r="F24" s="60"/>
      <c r="G24" s="60"/>
      <c r="H24" s="61"/>
      <c r="I24" s="62" t="s">
        <v>38</v>
      </c>
      <c r="J24" s="63"/>
      <c r="K24" s="113"/>
      <c r="L24" s="62" t="s">
        <v>48</v>
      </c>
      <c r="M24" s="64"/>
    </row>
    <row r="25" spans="1:13">
      <c r="A25" s="65"/>
      <c r="B25" s="66"/>
      <c r="C25" s="66"/>
      <c r="D25" s="66"/>
      <c r="E25" s="67" t="s">
        <v>39</v>
      </c>
      <c r="F25" s="68"/>
      <c r="G25" s="67" t="s">
        <v>40</v>
      </c>
      <c r="H25" s="68"/>
      <c r="I25" s="69"/>
      <c r="J25" s="70"/>
      <c r="K25" s="114"/>
      <c r="L25" s="69"/>
      <c r="M25" s="71"/>
    </row>
    <row r="26" ht="14.25" spans="1:13">
      <c r="A26" s="115"/>
      <c r="B26" s="74"/>
      <c r="C26" s="74"/>
      <c r="D26" s="74"/>
      <c r="E26" s="74" t="s">
        <v>41</v>
      </c>
      <c r="F26" s="74" t="s">
        <v>42</v>
      </c>
      <c r="G26" s="74" t="s">
        <v>41</v>
      </c>
      <c r="H26" s="74" t="s">
        <v>42</v>
      </c>
      <c r="I26" s="74" t="s">
        <v>43</v>
      </c>
      <c r="J26" s="75" t="s">
        <v>44</v>
      </c>
      <c r="K26" s="75" t="s">
        <v>45</v>
      </c>
      <c r="L26" s="74" t="s">
        <v>43</v>
      </c>
      <c r="M26" s="116" t="s">
        <v>44</v>
      </c>
    </row>
    <row r="27" ht="14.25" spans="1:13">
      <c r="A27" s="77">
        <v>1</v>
      </c>
      <c r="B27" s="78" t="s">
        <v>14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101">
        <v>0</v>
      </c>
    </row>
    <row r="28" spans="1:13">
      <c r="A28" s="82">
        <v>2</v>
      </c>
      <c r="B28" s="83" t="s">
        <v>15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4">
        <v>0</v>
      </c>
      <c r="J28" s="84">
        <v>0</v>
      </c>
      <c r="K28" s="84">
        <v>0</v>
      </c>
      <c r="L28" s="84">
        <v>0</v>
      </c>
      <c r="M28" s="103">
        <v>0</v>
      </c>
    </row>
    <row r="29" spans="1:13">
      <c r="A29" s="82">
        <v>3</v>
      </c>
      <c r="B29" s="83" t="s">
        <v>16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103">
        <v>0</v>
      </c>
    </row>
    <row r="30" spans="1:13">
      <c r="A30" s="82">
        <v>4</v>
      </c>
      <c r="B30" s="83" t="s">
        <v>17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103">
        <v>0</v>
      </c>
    </row>
    <row r="31" spans="1:13">
      <c r="A31" s="82">
        <v>5</v>
      </c>
      <c r="B31" s="83" t="s">
        <v>18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4">
        <v>0</v>
      </c>
      <c r="M31" s="103">
        <v>0</v>
      </c>
    </row>
    <row r="32" spans="1:13">
      <c r="A32" s="82">
        <v>6</v>
      </c>
      <c r="B32" s="83" t="s">
        <v>19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103">
        <v>0</v>
      </c>
    </row>
    <row r="33" spans="1:13">
      <c r="A33" s="82">
        <v>7</v>
      </c>
      <c r="B33" s="83" t="s">
        <v>20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  <c r="K33" s="84">
        <v>0</v>
      </c>
      <c r="L33" s="84">
        <v>0</v>
      </c>
      <c r="M33" s="103">
        <v>0</v>
      </c>
    </row>
    <row r="34" spans="1:13">
      <c r="A34" s="82">
        <v>8</v>
      </c>
      <c r="B34" s="83" t="s">
        <v>21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103">
        <v>0</v>
      </c>
    </row>
    <row r="35" spans="1:13">
      <c r="A35" s="82">
        <v>9</v>
      </c>
      <c r="B35" s="83" t="s">
        <v>22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103">
        <v>0</v>
      </c>
    </row>
    <row r="36" spans="1:13">
      <c r="A36" s="82">
        <v>10</v>
      </c>
      <c r="B36" s="83" t="s">
        <v>23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  <c r="L36" s="84">
        <v>0</v>
      </c>
      <c r="M36" s="103">
        <v>0</v>
      </c>
    </row>
    <row r="37" spans="1:13">
      <c r="A37" s="82">
        <v>11</v>
      </c>
      <c r="B37" s="83" t="s">
        <v>24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  <c r="K37" s="84">
        <v>0</v>
      </c>
      <c r="L37" s="84">
        <v>0</v>
      </c>
      <c r="M37" s="103">
        <v>0</v>
      </c>
    </row>
    <row r="38" ht="14.25" spans="1:13">
      <c r="A38" s="85">
        <v>12</v>
      </c>
      <c r="B38" s="86" t="s">
        <v>25</v>
      </c>
      <c r="C38" s="84">
        <v>0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4">
        <v>0</v>
      </c>
      <c r="J38" s="84">
        <v>0</v>
      </c>
      <c r="K38" s="84">
        <v>0</v>
      </c>
      <c r="L38" s="84">
        <v>0</v>
      </c>
      <c r="M38" s="103">
        <v>0</v>
      </c>
    </row>
    <row r="39" ht="15" spans="1:13">
      <c r="A39" s="87" t="s">
        <v>26</v>
      </c>
      <c r="B39" s="88"/>
      <c r="C39" s="88">
        <f t="shared" ref="C39:M39" si="2">SUM(C27:C38)</f>
        <v>0</v>
      </c>
      <c r="D39" s="88">
        <f t="shared" si="2"/>
        <v>0</v>
      </c>
      <c r="E39" s="88">
        <f t="shared" si="2"/>
        <v>0</v>
      </c>
      <c r="F39" s="88">
        <f t="shared" si="2"/>
        <v>0</v>
      </c>
      <c r="G39" s="88">
        <f t="shared" si="2"/>
        <v>0</v>
      </c>
      <c r="H39" s="88">
        <f t="shared" si="2"/>
        <v>0</v>
      </c>
      <c r="I39" s="88">
        <f t="shared" si="2"/>
        <v>0</v>
      </c>
      <c r="J39" s="88">
        <f t="shared" ref="J39" si="3">SUM(J27:J38)</f>
        <v>0</v>
      </c>
      <c r="K39" s="88">
        <f t="shared" si="2"/>
        <v>0</v>
      </c>
      <c r="L39" s="88">
        <f t="shared" si="2"/>
        <v>0</v>
      </c>
      <c r="M39" s="90">
        <f t="shared" si="2"/>
        <v>0</v>
      </c>
    </row>
    <row r="40" ht="15"/>
    <row r="41" ht="15" spans="1:13">
      <c r="A41" s="109" t="s">
        <v>28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1"/>
    </row>
    <row r="42" ht="14.25" spans="1:13">
      <c r="A42" s="112" t="s">
        <v>4</v>
      </c>
      <c r="B42" s="58" t="s">
        <v>5</v>
      </c>
      <c r="C42" s="58" t="s">
        <v>34</v>
      </c>
      <c r="D42" s="58" t="s">
        <v>35</v>
      </c>
      <c r="E42" s="59" t="s">
        <v>36</v>
      </c>
      <c r="F42" s="60"/>
      <c r="G42" s="60"/>
      <c r="H42" s="61"/>
      <c r="I42" s="62" t="s">
        <v>38</v>
      </c>
      <c r="J42" s="63"/>
      <c r="K42" s="113"/>
      <c r="L42" s="62" t="s">
        <v>48</v>
      </c>
      <c r="M42" s="64"/>
    </row>
    <row r="43" spans="1:13">
      <c r="A43" s="65"/>
      <c r="B43" s="66"/>
      <c r="C43" s="66"/>
      <c r="D43" s="66"/>
      <c r="E43" s="67" t="s">
        <v>39</v>
      </c>
      <c r="F43" s="68"/>
      <c r="G43" s="67" t="s">
        <v>40</v>
      </c>
      <c r="H43" s="68"/>
      <c r="I43" s="69"/>
      <c r="J43" s="70"/>
      <c r="K43" s="114"/>
      <c r="L43" s="69"/>
      <c r="M43" s="71"/>
    </row>
    <row r="44" ht="14.25" spans="1:13">
      <c r="A44" s="115"/>
      <c r="B44" s="74"/>
      <c r="C44" s="74"/>
      <c r="D44" s="74"/>
      <c r="E44" s="74" t="s">
        <v>41</v>
      </c>
      <c r="F44" s="74" t="s">
        <v>42</v>
      </c>
      <c r="G44" s="74" t="s">
        <v>41</v>
      </c>
      <c r="H44" s="74" t="s">
        <v>42</v>
      </c>
      <c r="I44" s="74" t="s">
        <v>43</v>
      </c>
      <c r="J44" s="75" t="s">
        <v>44</v>
      </c>
      <c r="K44" s="75" t="s">
        <v>45</v>
      </c>
      <c r="L44" s="74" t="s">
        <v>43</v>
      </c>
      <c r="M44" s="116" t="s">
        <v>44</v>
      </c>
    </row>
    <row r="45" ht="14.25" spans="1:13">
      <c r="A45" s="77">
        <v>1</v>
      </c>
      <c r="B45" s="78" t="s">
        <v>14</v>
      </c>
      <c r="C45" s="79">
        <v>5</v>
      </c>
      <c r="D45" s="79">
        <v>10485</v>
      </c>
      <c r="E45" s="79">
        <v>0</v>
      </c>
      <c r="F45" s="79">
        <v>0</v>
      </c>
      <c r="G45" s="79">
        <v>0</v>
      </c>
      <c r="H45" s="79">
        <v>0</v>
      </c>
      <c r="I45" s="79">
        <v>295</v>
      </c>
      <c r="J45" s="79">
        <v>126</v>
      </c>
      <c r="K45" s="79">
        <v>942</v>
      </c>
      <c r="L45" s="79">
        <v>0</v>
      </c>
      <c r="M45" s="101">
        <v>0</v>
      </c>
    </row>
    <row r="46" spans="1:13">
      <c r="A46" s="82">
        <v>2</v>
      </c>
      <c r="B46" s="83" t="s">
        <v>15</v>
      </c>
      <c r="C46" s="84">
        <v>5</v>
      </c>
      <c r="D46" s="84">
        <v>10485</v>
      </c>
      <c r="E46" s="84">
        <v>0</v>
      </c>
      <c r="F46" s="79">
        <v>0</v>
      </c>
      <c r="G46" s="84">
        <v>0</v>
      </c>
      <c r="H46" s="79">
        <v>0</v>
      </c>
      <c r="I46" s="84">
        <v>110</v>
      </c>
      <c r="J46" s="84">
        <v>171</v>
      </c>
      <c r="K46" s="84">
        <v>790</v>
      </c>
      <c r="L46" s="84">
        <v>0</v>
      </c>
      <c r="M46" s="103">
        <v>0</v>
      </c>
    </row>
    <row r="47" spans="1:13">
      <c r="A47" s="82">
        <v>3</v>
      </c>
      <c r="B47" s="83" t="s">
        <v>16</v>
      </c>
      <c r="C47" s="84"/>
      <c r="D47" s="84"/>
      <c r="E47" s="84"/>
      <c r="F47" s="79">
        <v>0</v>
      </c>
      <c r="G47" s="84"/>
      <c r="H47" s="79">
        <v>0</v>
      </c>
      <c r="I47" s="84"/>
      <c r="J47" s="84"/>
      <c r="K47" s="84"/>
      <c r="L47" s="84">
        <v>0</v>
      </c>
      <c r="M47" s="103">
        <v>0</v>
      </c>
    </row>
    <row r="48" spans="1:13">
      <c r="A48" s="82">
        <v>4</v>
      </c>
      <c r="B48" s="83" t="s">
        <v>17</v>
      </c>
      <c r="C48" s="84"/>
      <c r="D48" s="79"/>
      <c r="E48" s="84"/>
      <c r="F48" s="79">
        <v>0</v>
      </c>
      <c r="G48" s="84"/>
      <c r="H48" s="79">
        <v>0</v>
      </c>
      <c r="I48" s="84"/>
      <c r="J48" s="84"/>
      <c r="K48" s="84"/>
      <c r="L48" s="84">
        <v>0</v>
      </c>
      <c r="M48" s="103">
        <v>0</v>
      </c>
    </row>
    <row r="49" spans="1:13">
      <c r="A49" s="82">
        <v>5</v>
      </c>
      <c r="B49" s="83" t="s">
        <v>18</v>
      </c>
      <c r="C49" s="84"/>
      <c r="D49" s="84"/>
      <c r="E49" s="84"/>
      <c r="F49" s="79">
        <v>0</v>
      </c>
      <c r="G49" s="84"/>
      <c r="H49" s="79">
        <v>0</v>
      </c>
      <c r="I49" s="84"/>
      <c r="J49" s="84"/>
      <c r="K49" s="84"/>
      <c r="L49" s="84">
        <v>0</v>
      </c>
      <c r="M49" s="103">
        <v>0</v>
      </c>
    </row>
    <row r="50" spans="1:13">
      <c r="A50" s="82">
        <v>6</v>
      </c>
      <c r="B50" s="83" t="s">
        <v>19</v>
      </c>
      <c r="C50" s="84"/>
      <c r="D50" s="79"/>
      <c r="E50" s="84"/>
      <c r="F50" s="79">
        <v>0</v>
      </c>
      <c r="G50" s="84"/>
      <c r="H50" s="79">
        <v>0</v>
      </c>
      <c r="I50" s="84"/>
      <c r="J50" s="84"/>
      <c r="K50" s="84"/>
      <c r="L50" s="84">
        <v>0</v>
      </c>
      <c r="M50" s="103">
        <v>0</v>
      </c>
    </row>
    <row r="51" spans="1:13">
      <c r="A51" s="82">
        <v>7</v>
      </c>
      <c r="B51" s="83" t="s">
        <v>20</v>
      </c>
      <c r="C51" s="84"/>
      <c r="D51" s="84"/>
      <c r="E51" s="84"/>
      <c r="F51" s="79">
        <v>0</v>
      </c>
      <c r="G51" s="84"/>
      <c r="H51" s="79">
        <v>0</v>
      </c>
      <c r="I51" s="84"/>
      <c r="J51" s="84"/>
      <c r="K51" s="84"/>
      <c r="L51" s="84">
        <v>0</v>
      </c>
      <c r="M51" s="103">
        <v>0</v>
      </c>
    </row>
    <row r="52" spans="1:13">
      <c r="A52" s="82">
        <v>8</v>
      </c>
      <c r="B52" s="83" t="s">
        <v>21</v>
      </c>
      <c r="C52" s="84"/>
      <c r="D52" s="84"/>
      <c r="E52" s="84"/>
      <c r="F52" s="79">
        <v>0</v>
      </c>
      <c r="G52" s="84"/>
      <c r="H52" s="79">
        <v>0</v>
      </c>
      <c r="I52" s="84"/>
      <c r="J52" s="84"/>
      <c r="K52" s="84"/>
      <c r="L52" s="84">
        <v>0</v>
      </c>
      <c r="M52" s="103">
        <v>0</v>
      </c>
    </row>
    <row r="53" spans="1:13">
      <c r="A53" s="82">
        <v>9</v>
      </c>
      <c r="B53" s="83" t="s">
        <v>22</v>
      </c>
      <c r="C53" s="84"/>
      <c r="D53" s="79"/>
      <c r="E53" s="84"/>
      <c r="F53" s="79">
        <v>0</v>
      </c>
      <c r="G53" s="84"/>
      <c r="H53" s="79">
        <v>0</v>
      </c>
      <c r="I53" s="84"/>
      <c r="J53" s="84"/>
      <c r="K53" s="84"/>
      <c r="L53" s="84">
        <v>0</v>
      </c>
      <c r="M53" s="103">
        <v>0</v>
      </c>
    </row>
    <row r="54" spans="1:13">
      <c r="A54" s="82">
        <v>10</v>
      </c>
      <c r="B54" s="83" t="s">
        <v>23</v>
      </c>
      <c r="C54" s="84"/>
      <c r="D54" s="84"/>
      <c r="E54" s="84"/>
      <c r="F54" s="79">
        <v>0</v>
      </c>
      <c r="G54" s="84"/>
      <c r="H54" s="79">
        <v>0</v>
      </c>
      <c r="I54" s="84"/>
      <c r="J54" s="84"/>
      <c r="K54" s="84"/>
      <c r="L54" s="84">
        <v>0</v>
      </c>
      <c r="M54" s="103">
        <v>0</v>
      </c>
    </row>
    <row r="55" spans="1:13">
      <c r="A55" s="82">
        <v>11</v>
      </c>
      <c r="B55" s="83" t="s">
        <v>24</v>
      </c>
      <c r="C55" s="84"/>
      <c r="D55" s="79"/>
      <c r="E55" s="84"/>
      <c r="F55" s="79">
        <v>0</v>
      </c>
      <c r="G55" s="84"/>
      <c r="H55" s="79">
        <v>0</v>
      </c>
      <c r="I55" s="84"/>
      <c r="J55" s="84"/>
      <c r="K55" s="84"/>
      <c r="L55" s="84">
        <v>0</v>
      </c>
      <c r="M55" s="103">
        <v>0</v>
      </c>
    </row>
    <row r="56" ht="14.25" spans="1:13">
      <c r="A56" s="85">
        <v>12</v>
      </c>
      <c r="B56" s="86" t="s">
        <v>25</v>
      </c>
      <c r="C56" s="84"/>
      <c r="D56" s="84"/>
      <c r="E56" s="84"/>
      <c r="F56" s="79">
        <v>0</v>
      </c>
      <c r="G56" s="84"/>
      <c r="H56" s="79">
        <v>0</v>
      </c>
      <c r="I56" s="84"/>
      <c r="J56" s="84"/>
      <c r="K56" s="84"/>
      <c r="L56" s="84">
        <v>0</v>
      </c>
      <c r="M56" s="103">
        <v>0</v>
      </c>
    </row>
    <row r="57" ht="15" spans="1:13">
      <c r="A57" s="87" t="s">
        <v>26</v>
      </c>
      <c r="B57" s="88"/>
      <c r="C57" s="88">
        <f t="shared" ref="C57:M57" si="4">SUM(C45:C56)</f>
        <v>10</v>
      </c>
      <c r="D57" s="88">
        <f t="shared" si="4"/>
        <v>20970</v>
      </c>
      <c r="E57" s="88">
        <f t="shared" si="4"/>
        <v>0</v>
      </c>
      <c r="F57" s="88">
        <f t="shared" si="4"/>
        <v>0</v>
      </c>
      <c r="G57" s="88">
        <f t="shared" si="4"/>
        <v>0</v>
      </c>
      <c r="H57" s="88">
        <f t="shared" si="4"/>
        <v>0</v>
      </c>
      <c r="I57" s="88">
        <f t="shared" si="4"/>
        <v>405</v>
      </c>
      <c r="J57" s="88">
        <f t="shared" ref="J57" si="5">SUM(J45:J56)</f>
        <v>297</v>
      </c>
      <c r="K57" s="88">
        <f t="shared" si="4"/>
        <v>1732</v>
      </c>
      <c r="L57" s="88">
        <f t="shared" si="4"/>
        <v>0</v>
      </c>
      <c r="M57" s="90">
        <f t="shared" si="4"/>
        <v>0</v>
      </c>
    </row>
    <row r="58" ht="15"/>
    <row r="59" ht="15" spans="1:13">
      <c r="A59" s="109" t="s">
        <v>29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1"/>
    </row>
    <row r="60" ht="14.25" spans="1:13">
      <c r="A60" s="112" t="s">
        <v>4</v>
      </c>
      <c r="B60" s="58" t="s">
        <v>5</v>
      </c>
      <c r="C60" s="58" t="s">
        <v>34</v>
      </c>
      <c r="D60" s="58" t="s">
        <v>35</v>
      </c>
      <c r="E60" s="59" t="s">
        <v>36</v>
      </c>
      <c r="F60" s="60"/>
      <c r="G60" s="60"/>
      <c r="H60" s="61"/>
      <c r="I60" s="62" t="s">
        <v>38</v>
      </c>
      <c r="J60" s="63"/>
      <c r="K60" s="113"/>
      <c r="L60" s="62" t="s">
        <v>48</v>
      </c>
      <c r="M60" s="64"/>
    </row>
    <row r="61" spans="1:13">
      <c r="A61" s="65"/>
      <c r="B61" s="66"/>
      <c r="C61" s="66"/>
      <c r="D61" s="66"/>
      <c r="E61" s="67" t="s">
        <v>39</v>
      </c>
      <c r="F61" s="68"/>
      <c r="G61" s="67" t="s">
        <v>40</v>
      </c>
      <c r="H61" s="68"/>
      <c r="I61" s="69"/>
      <c r="J61" s="70"/>
      <c r="K61" s="114"/>
      <c r="L61" s="69"/>
      <c r="M61" s="71"/>
    </row>
    <row r="62" ht="14.25" spans="1:13">
      <c r="A62" s="115"/>
      <c r="B62" s="74"/>
      <c r="C62" s="74"/>
      <c r="D62" s="74"/>
      <c r="E62" s="74" t="s">
        <v>41</v>
      </c>
      <c r="F62" s="74" t="s">
        <v>42</v>
      </c>
      <c r="G62" s="74" t="s">
        <v>41</v>
      </c>
      <c r="H62" s="74" t="s">
        <v>42</v>
      </c>
      <c r="I62" s="74" t="s">
        <v>43</v>
      </c>
      <c r="J62" s="75" t="s">
        <v>44</v>
      </c>
      <c r="K62" s="75" t="s">
        <v>45</v>
      </c>
      <c r="L62" s="74" t="s">
        <v>43</v>
      </c>
      <c r="M62" s="116" t="s">
        <v>44</v>
      </c>
    </row>
    <row r="63" ht="14.25" spans="1:13">
      <c r="A63" s="77">
        <v>1</v>
      </c>
      <c r="B63" s="78" t="s">
        <v>14</v>
      </c>
      <c r="C63" s="79">
        <v>10</v>
      </c>
      <c r="D63" s="79">
        <v>14366</v>
      </c>
      <c r="E63" s="79">
        <v>0</v>
      </c>
      <c r="F63" s="79">
        <v>0</v>
      </c>
      <c r="G63" s="79">
        <v>0</v>
      </c>
      <c r="H63" s="79">
        <v>0</v>
      </c>
      <c r="I63" s="79">
        <v>714</v>
      </c>
      <c r="J63" s="79">
        <v>297</v>
      </c>
      <c r="K63" s="79">
        <v>671</v>
      </c>
      <c r="L63" s="79">
        <v>0</v>
      </c>
      <c r="M63" s="101">
        <v>0</v>
      </c>
    </row>
    <row r="64" spans="1:13">
      <c r="A64" s="82">
        <v>2</v>
      </c>
      <c r="B64" s="83" t="s">
        <v>15</v>
      </c>
      <c r="C64" s="84">
        <v>15</v>
      </c>
      <c r="D64" s="84">
        <v>17680</v>
      </c>
      <c r="E64" s="84">
        <v>0</v>
      </c>
      <c r="F64" s="79">
        <v>0</v>
      </c>
      <c r="G64" s="84">
        <v>0</v>
      </c>
      <c r="H64" s="79">
        <v>0</v>
      </c>
      <c r="I64" s="84">
        <v>454</v>
      </c>
      <c r="J64" s="84">
        <v>301</v>
      </c>
      <c r="K64" s="84">
        <v>458</v>
      </c>
      <c r="L64" s="84">
        <v>2</v>
      </c>
      <c r="M64" s="103">
        <v>0</v>
      </c>
    </row>
    <row r="65" spans="1:15">
      <c r="A65" s="82">
        <v>3</v>
      </c>
      <c r="B65" s="83" t="s">
        <v>16</v>
      </c>
      <c r="C65" s="84"/>
      <c r="D65" s="84"/>
      <c r="E65" s="84"/>
      <c r="F65" s="79">
        <v>0</v>
      </c>
      <c r="G65" s="84"/>
      <c r="H65" s="79">
        <v>0</v>
      </c>
      <c r="I65" s="84"/>
      <c r="J65" s="84"/>
      <c r="K65" s="84"/>
      <c r="L65" s="84"/>
      <c r="M65" s="103"/>
    </row>
    <row r="66" spans="1:15">
      <c r="A66" s="82">
        <v>4</v>
      </c>
      <c r="B66" s="83" t="s">
        <v>17</v>
      </c>
      <c r="C66" s="84"/>
      <c r="D66" s="84"/>
      <c r="E66" s="84"/>
      <c r="F66" s="79">
        <v>0</v>
      </c>
      <c r="G66" s="84"/>
      <c r="H66" s="79">
        <v>0</v>
      </c>
      <c r="I66" s="84"/>
      <c r="J66" s="84"/>
      <c r="K66" s="84"/>
      <c r="L66" s="84"/>
      <c r="M66" s="103"/>
    </row>
    <row r="67" spans="1:15">
      <c r="A67" s="82">
        <v>5</v>
      </c>
      <c r="B67" s="83" t="s">
        <v>18</v>
      </c>
      <c r="C67" s="84"/>
      <c r="D67" s="84"/>
      <c r="E67" s="84"/>
      <c r="F67" s="79">
        <v>0</v>
      </c>
      <c r="G67" s="84"/>
      <c r="H67" s="79">
        <v>0</v>
      </c>
      <c r="I67" s="84"/>
      <c r="J67" s="84"/>
      <c r="K67" s="84"/>
      <c r="L67" s="84"/>
      <c r="M67" s="103"/>
      <c r="O67" s="117"/>
    </row>
    <row r="68" spans="1:15">
      <c r="A68" s="82">
        <v>6</v>
      </c>
      <c r="B68" s="83" t="s">
        <v>19</v>
      </c>
      <c r="C68" s="84"/>
      <c r="D68" s="84"/>
      <c r="E68" s="84"/>
      <c r="F68" s="79">
        <v>0</v>
      </c>
      <c r="G68" s="84"/>
      <c r="H68" s="79">
        <v>0</v>
      </c>
      <c r="I68" s="84"/>
      <c r="J68" s="84"/>
      <c r="K68" s="84"/>
      <c r="L68" s="84"/>
      <c r="M68" s="103"/>
    </row>
    <row r="69" spans="1:15">
      <c r="A69" s="82">
        <v>7</v>
      </c>
      <c r="B69" s="83" t="s">
        <v>20</v>
      </c>
      <c r="C69" s="84"/>
      <c r="D69" s="84"/>
      <c r="E69" s="84"/>
      <c r="F69" s="79">
        <v>0</v>
      </c>
      <c r="G69" s="84"/>
      <c r="H69" s="79">
        <v>0</v>
      </c>
      <c r="I69" s="84"/>
      <c r="J69" s="84"/>
      <c r="K69" s="84"/>
      <c r="L69" s="84"/>
      <c r="M69" s="103"/>
    </row>
    <row r="70" spans="1:15">
      <c r="A70" s="82">
        <v>8</v>
      </c>
      <c r="B70" s="83" t="s">
        <v>21</v>
      </c>
      <c r="C70" s="84"/>
      <c r="D70" s="84"/>
      <c r="E70" s="84"/>
      <c r="F70" s="79">
        <v>0</v>
      </c>
      <c r="G70" s="84"/>
      <c r="H70" s="79">
        <v>0</v>
      </c>
      <c r="I70" s="84"/>
      <c r="J70" s="84"/>
      <c r="K70" s="84"/>
      <c r="L70" s="84"/>
      <c r="M70" s="103"/>
    </row>
    <row r="71" spans="1:15">
      <c r="A71" s="82">
        <v>9</v>
      </c>
      <c r="B71" s="83" t="s">
        <v>22</v>
      </c>
      <c r="C71" s="84"/>
      <c r="D71" s="84"/>
      <c r="E71" s="84"/>
      <c r="F71" s="79">
        <v>0</v>
      </c>
      <c r="G71" s="84"/>
      <c r="H71" s="79">
        <v>0</v>
      </c>
      <c r="I71" s="84"/>
      <c r="J71" s="84"/>
      <c r="K71" s="84"/>
      <c r="L71" s="84"/>
      <c r="M71" s="103"/>
    </row>
    <row r="72" spans="1:15">
      <c r="A72" s="82">
        <v>10</v>
      </c>
      <c r="B72" s="83" t="s">
        <v>23</v>
      </c>
      <c r="C72" s="84"/>
      <c r="D72" s="84"/>
      <c r="E72" s="84"/>
      <c r="F72" s="79">
        <v>0</v>
      </c>
      <c r="G72" s="84"/>
      <c r="H72" s="79">
        <v>0</v>
      </c>
      <c r="I72" s="84"/>
      <c r="J72" s="84"/>
      <c r="K72" s="84"/>
      <c r="L72" s="84"/>
      <c r="M72" s="103"/>
    </row>
    <row r="73" spans="1:15">
      <c r="A73" s="82">
        <v>11</v>
      </c>
      <c r="B73" s="83" t="s">
        <v>24</v>
      </c>
      <c r="C73" s="84"/>
      <c r="D73" s="84"/>
      <c r="E73" s="84"/>
      <c r="F73" s="79">
        <v>0</v>
      </c>
      <c r="G73" s="84"/>
      <c r="H73" s="79">
        <v>0</v>
      </c>
      <c r="I73" s="84"/>
      <c r="J73" s="84"/>
      <c r="K73" s="84"/>
      <c r="L73" s="84"/>
      <c r="M73" s="103"/>
    </row>
    <row r="74" ht="14.25" spans="1:15">
      <c r="A74" s="85">
        <v>12</v>
      </c>
      <c r="B74" s="86" t="s">
        <v>25</v>
      </c>
      <c r="C74" s="84"/>
      <c r="D74" s="84"/>
      <c r="E74" s="84"/>
      <c r="F74" s="79">
        <v>0</v>
      </c>
      <c r="G74" s="84"/>
      <c r="H74" s="79">
        <v>0</v>
      </c>
      <c r="I74" s="84"/>
      <c r="J74" s="84"/>
      <c r="K74" s="84"/>
      <c r="L74" s="84"/>
      <c r="M74" s="103"/>
    </row>
    <row r="75" ht="15" spans="1:15">
      <c r="A75" s="87" t="s">
        <v>26</v>
      </c>
      <c r="B75" s="88"/>
      <c r="C75" s="88">
        <f t="shared" ref="C75:M75" si="6">SUM(C63:C74)</f>
        <v>25</v>
      </c>
      <c r="D75" s="88">
        <f t="shared" si="6"/>
        <v>32046</v>
      </c>
      <c r="E75" s="88">
        <f t="shared" si="6"/>
        <v>0</v>
      </c>
      <c r="F75" s="88">
        <f t="shared" si="6"/>
        <v>0</v>
      </c>
      <c r="G75" s="88">
        <f t="shared" si="6"/>
        <v>0</v>
      </c>
      <c r="H75" s="88">
        <f t="shared" si="6"/>
        <v>0</v>
      </c>
      <c r="I75" s="88">
        <f t="shared" si="6"/>
        <v>1168</v>
      </c>
      <c r="J75" s="88">
        <f t="shared" ref="J75" si="7">SUM(J63:J74)</f>
        <v>598</v>
      </c>
      <c r="K75" s="88">
        <f t="shared" si="6"/>
        <v>1129</v>
      </c>
      <c r="L75" s="88">
        <f t="shared" si="6"/>
        <v>2</v>
      </c>
      <c r="M75" s="90">
        <f t="shared" si="6"/>
        <v>0</v>
      </c>
    </row>
    <row r="76" ht="15"/>
    <row r="77" ht="15" spans="1:15">
      <c r="A77" s="109" t="s">
        <v>30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1"/>
    </row>
    <row r="78" ht="14.25" spans="1:15">
      <c r="A78" s="112" t="s">
        <v>4</v>
      </c>
      <c r="B78" s="58" t="s">
        <v>5</v>
      </c>
      <c r="C78" s="58" t="s">
        <v>34</v>
      </c>
      <c r="D78" s="58" t="s">
        <v>35</v>
      </c>
      <c r="E78" s="59" t="s">
        <v>36</v>
      </c>
      <c r="F78" s="60"/>
      <c r="G78" s="60"/>
      <c r="H78" s="61"/>
      <c r="I78" s="62" t="s">
        <v>38</v>
      </c>
      <c r="J78" s="63"/>
      <c r="K78" s="113"/>
      <c r="L78" s="62" t="s">
        <v>48</v>
      </c>
      <c r="M78" s="64"/>
    </row>
    <row r="79" spans="1:15">
      <c r="A79" s="65"/>
      <c r="B79" s="66"/>
      <c r="C79" s="66"/>
      <c r="D79" s="66"/>
      <c r="E79" s="67" t="s">
        <v>39</v>
      </c>
      <c r="F79" s="68"/>
      <c r="G79" s="67" t="s">
        <v>40</v>
      </c>
      <c r="H79" s="68"/>
      <c r="I79" s="69"/>
      <c r="J79" s="70"/>
      <c r="K79" s="114"/>
      <c r="L79" s="69"/>
      <c r="M79" s="71"/>
    </row>
    <row r="80" ht="14.25" spans="1:15">
      <c r="A80" s="115"/>
      <c r="B80" s="74"/>
      <c r="C80" s="74"/>
      <c r="D80" s="74"/>
      <c r="E80" s="74" t="s">
        <v>41</v>
      </c>
      <c r="F80" s="74" t="s">
        <v>42</v>
      </c>
      <c r="G80" s="74" t="s">
        <v>41</v>
      </c>
      <c r="H80" s="74" t="s">
        <v>42</v>
      </c>
      <c r="I80" s="74" t="s">
        <v>43</v>
      </c>
      <c r="J80" s="75" t="s">
        <v>44</v>
      </c>
      <c r="K80" s="75" t="s">
        <v>45</v>
      </c>
      <c r="L80" s="74" t="s">
        <v>43</v>
      </c>
      <c r="M80" s="116" t="s">
        <v>44</v>
      </c>
    </row>
    <row r="81" ht="14.25" spans="1:13">
      <c r="A81" s="77">
        <v>1</v>
      </c>
      <c r="B81" s="78" t="s">
        <v>14</v>
      </c>
      <c r="C81" s="79">
        <v>4</v>
      </c>
      <c r="D81" s="79">
        <v>8388</v>
      </c>
      <c r="E81" s="79">
        <v>4</v>
      </c>
      <c r="F81" s="79">
        <v>0</v>
      </c>
      <c r="G81" s="79">
        <v>0</v>
      </c>
      <c r="H81" s="79">
        <v>0</v>
      </c>
      <c r="I81" s="79">
        <v>502</v>
      </c>
      <c r="J81" s="79">
        <v>287</v>
      </c>
      <c r="K81" s="79">
        <v>52</v>
      </c>
      <c r="L81" s="79">
        <v>0</v>
      </c>
      <c r="M81" s="101">
        <v>0</v>
      </c>
    </row>
    <row r="82" spans="1:13">
      <c r="A82" s="82">
        <v>2</v>
      </c>
      <c r="B82" s="83" t="s">
        <v>15</v>
      </c>
      <c r="C82" s="84">
        <v>5</v>
      </c>
      <c r="D82" s="84">
        <v>10485</v>
      </c>
      <c r="E82" s="84">
        <v>2</v>
      </c>
      <c r="F82" s="84">
        <v>0</v>
      </c>
      <c r="G82" s="84">
        <v>72</v>
      </c>
      <c r="H82" s="84">
        <v>0</v>
      </c>
      <c r="I82" s="84">
        <v>341</v>
      </c>
      <c r="J82" s="84">
        <v>272</v>
      </c>
      <c r="K82" s="84">
        <v>79</v>
      </c>
      <c r="L82" s="84">
        <v>0</v>
      </c>
      <c r="M82" s="103">
        <v>0</v>
      </c>
    </row>
    <row r="83" spans="1:13">
      <c r="A83" s="82">
        <v>3</v>
      </c>
      <c r="B83" s="83" t="s">
        <v>16</v>
      </c>
      <c r="C83" s="84"/>
      <c r="D83" s="84"/>
      <c r="E83" s="84"/>
      <c r="F83" s="84">
        <v>0</v>
      </c>
      <c r="G83" s="84">
        <v>0</v>
      </c>
      <c r="H83" s="84">
        <v>0</v>
      </c>
      <c r="I83" s="84"/>
      <c r="J83" s="84"/>
      <c r="K83" s="84"/>
      <c r="L83" s="84">
        <v>0</v>
      </c>
      <c r="M83" s="103">
        <v>0</v>
      </c>
    </row>
    <row r="84" spans="1:13">
      <c r="A84" s="82">
        <v>4</v>
      </c>
      <c r="B84" s="83" t="s">
        <v>17</v>
      </c>
      <c r="C84" s="79"/>
      <c r="D84" s="79"/>
      <c r="E84" s="84"/>
      <c r="F84" s="84">
        <v>0</v>
      </c>
      <c r="G84" s="84">
        <v>0</v>
      </c>
      <c r="H84" s="84">
        <v>0</v>
      </c>
      <c r="I84" s="84"/>
      <c r="J84" s="84"/>
      <c r="K84" s="84"/>
      <c r="L84" s="84">
        <v>0</v>
      </c>
      <c r="M84" s="103">
        <v>0</v>
      </c>
    </row>
    <row r="85" spans="1:13">
      <c r="A85" s="82">
        <v>5</v>
      </c>
      <c r="B85" s="83" t="s">
        <v>18</v>
      </c>
      <c r="C85" s="84"/>
      <c r="D85" s="79"/>
      <c r="E85" s="84"/>
      <c r="F85" s="84">
        <v>0</v>
      </c>
      <c r="G85" s="84">
        <v>0</v>
      </c>
      <c r="H85" s="84">
        <v>0</v>
      </c>
      <c r="I85" s="84"/>
      <c r="J85" s="84"/>
      <c r="K85" s="84"/>
      <c r="L85" s="84">
        <v>0</v>
      </c>
      <c r="M85" s="103">
        <v>0</v>
      </c>
    </row>
    <row r="86" spans="1:13">
      <c r="A86" s="82">
        <v>6</v>
      </c>
      <c r="B86" s="83" t="s">
        <v>19</v>
      </c>
      <c r="C86" s="84"/>
      <c r="D86" s="79"/>
      <c r="E86" s="84"/>
      <c r="F86" s="84">
        <v>0</v>
      </c>
      <c r="G86" s="84">
        <v>0</v>
      </c>
      <c r="H86" s="84">
        <v>0</v>
      </c>
      <c r="I86" s="84"/>
      <c r="J86" s="84"/>
      <c r="K86" s="84"/>
      <c r="L86" s="84">
        <v>0</v>
      </c>
      <c r="M86" s="103">
        <v>0</v>
      </c>
    </row>
    <row r="87" spans="1:13">
      <c r="A87" s="82">
        <v>7</v>
      </c>
      <c r="B87" s="83" t="s">
        <v>20</v>
      </c>
      <c r="C87" s="79"/>
      <c r="D87" s="79"/>
      <c r="E87" s="84"/>
      <c r="F87" s="84">
        <v>0</v>
      </c>
      <c r="G87" s="84">
        <v>0</v>
      </c>
      <c r="H87" s="84">
        <v>0</v>
      </c>
      <c r="I87" s="84"/>
      <c r="J87" s="84"/>
      <c r="K87" s="84"/>
      <c r="L87" s="84">
        <v>0</v>
      </c>
      <c r="M87" s="103">
        <v>0</v>
      </c>
    </row>
    <row r="88" spans="1:13">
      <c r="A88" s="82">
        <v>8</v>
      </c>
      <c r="B88" s="83" t="s">
        <v>21</v>
      </c>
      <c r="C88" s="79"/>
      <c r="D88" s="79"/>
      <c r="E88" s="84"/>
      <c r="F88" s="84">
        <v>0</v>
      </c>
      <c r="G88" s="84">
        <v>0</v>
      </c>
      <c r="H88" s="84">
        <v>0</v>
      </c>
      <c r="I88" s="84"/>
      <c r="J88" s="84"/>
      <c r="K88" s="84"/>
      <c r="L88" s="84">
        <v>0</v>
      </c>
      <c r="M88" s="103">
        <v>0</v>
      </c>
    </row>
    <row r="89" spans="1:13">
      <c r="A89" s="82">
        <v>9</v>
      </c>
      <c r="B89" s="83" t="s">
        <v>22</v>
      </c>
      <c r="C89" s="84"/>
      <c r="D89" s="79"/>
      <c r="E89" s="84"/>
      <c r="F89" s="84">
        <v>0</v>
      </c>
      <c r="G89" s="84">
        <v>0</v>
      </c>
      <c r="H89" s="84">
        <v>0</v>
      </c>
      <c r="I89" s="84"/>
      <c r="J89" s="84"/>
      <c r="K89" s="84"/>
      <c r="L89" s="84">
        <v>0</v>
      </c>
      <c r="M89" s="103">
        <v>0</v>
      </c>
    </row>
    <row r="90" spans="1:13">
      <c r="A90" s="82">
        <v>10</v>
      </c>
      <c r="B90" s="83" t="s">
        <v>23</v>
      </c>
      <c r="C90" s="84"/>
      <c r="D90" s="84"/>
      <c r="E90" s="84"/>
      <c r="F90" s="84">
        <v>0</v>
      </c>
      <c r="G90" s="84">
        <v>0</v>
      </c>
      <c r="H90" s="84">
        <v>0</v>
      </c>
      <c r="I90" s="84"/>
      <c r="J90" s="84"/>
      <c r="K90" s="84"/>
      <c r="L90" s="84">
        <v>0</v>
      </c>
      <c r="M90" s="103">
        <v>0</v>
      </c>
    </row>
    <row r="91" spans="1:13">
      <c r="A91" s="82">
        <v>11</v>
      </c>
      <c r="B91" s="83" t="s">
        <v>24</v>
      </c>
      <c r="C91" s="84"/>
      <c r="D91" s="79"/>
      <c r="E91" s="84"/>
      <c r="F91" s="84">
        <v>0</v>
      </c>
      <c r="G91" s="84">
        <v>0</v>
      </c>
      <c r="H91" s="84">
        <v>0</v>
      </c>
      <c r="I91" s="84"/>
      <c r="J91" s="84"/>
      <c r="K91" s="84"/>
      <c r="L91" s="84">
        <v>0</v>
      </c>
      <c r="M91" s="103">
        <v>0</v>
      </c>
    </row>
    <row r="92" ht="14.25" spans="1:13">
      <c r="A92" s="85">
        <v>12</v>
      </c>
      <c r="B92" s="86" t="s">
        <v>25</v>
      </c>
      <c r="C92" s="84"/>
      <c r="D92" s="84"/>
      <c r="E92" s="84"/>
      <c r="F92" s="84">
        <v>0</v>
      </c>
      <c r="G92" s="84">
        <v>0</v>
      </c>
      <c r="H92" s="84">
        <v>0</v>
      </c>
      <c r="I92" s="84"/>
      <c r="J92" s="84"/>
      <c r="K92" s="84"/>
      <c r="L92" s="84">
        <v>0</v>
      </c>
      <c r="M92" s="103">
        <v>0</v>
      </c>
    </row>
    <row r="93" ht="15" spans="1:13">
      <c r="A93" s="87" t="s">
        <v>26</v>
      </c>
      <c r="B93" s="88"/>
      <c r="C93" s="88">
        <f t="shared" ref="C93:M93" si="8">SUM(C81:C92)</f>
        <v>9</v>
      </c>
      <c r="D93" s="88">
        <f t="shared" si="8"/>
        <v>18873</v>
      </c>
      <c r="E93" s="88">
        <f t="shared" si="8"/>
        <v>6</v>
      </c>
      <c r="F93" s="88">
        <f t="shared" si="8"/>
        <v>0</v>
      </c>
      <c r="G93" s="88">
        <f t="shared" si="8"/>
        <v>72</v>
      </c>
      <c r="H93" s="88">
        <f t="shared" si="8"/>
        <v>0</v>
      </c>
      <c r="I93" s="88">
        <f t="shared" si="8"/>
        <v>843</v>
      </c>
      <c r="J93" s="88">
        <f t="shared" ref="J93" si="9">SUM(J81:J92)</f>
        <v>559</v>
      </c>
      <c r="K93" s="88">
        <f t="shared" si="8"/>
        <v>131</v>
      </c>
      <c r="L93" s="88">
        <f t="shared" si="8"/>
        <v>0</v>
      </c>
      <c r="M93" s="90">
        <f t="shared" si="8"/>
        <v>0</v>
      </c>
    </row>
    <row r="94" ht="15"/>
    <row r="95" ht="15" spans="1:13">
      <c r="A95" s="109" t="s">
        <v>31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1"/>
    </row>
    <row r="96" ht="14.25" spans="1:13">
      <c r="A96" s="112" t="s">
        <v>4</v>
      </c>
      <c r="B96" s="58" t="s">
        <v>5</v>
      </c>
      <c r="C96" s="58" t="s">
        <v>34</v>
      </c>
      <c r="D96" s="58" t="s">
        <v>35</v>
      </c>
      <c r="E96" s="59" t="s">
        <v>36</v>
      </c>
      <c r="F96" s="60"/>
      <c r="G96" s="60"/>
      <c r="H96" s="61"/>
      <c r="I96" s="62" t="s">
        <v>38</v>
      </c>
      <c r="J96" s="63"/>
      <c r="K96" s="113"/>
      <c r="L96" s="62" t="s">
        <v>48</v>
      </c>
      <c r="M96" s="64"/>
    </row>
    <row r="97" spans="1:13">
      <c r="A97" s="65"/>
      <c r="B97" s="66"/>
      <c r="C97" s="66"/>
      <c r="D97" s="66"/>
      <c r="E97" s="67" t="s">
        <v>39</v>
      </c>
      <c r="F97" s="68"/>
      <c r="G97" s="67" t="s">
        <v>40</v>
      </c>
      <c r="H97" s="68"/>
      <c r="I97" s="69"/>
      <c r="J97" s="70"/>
      <c r="K97" s="114"/>
      <c r="L97" s="69"/>
      <c r="M97" s="71"/>
    </row>
    <row r="98" ht="14.25" spans="1:13">
      <c r="A98" s="115"/>
      <c r="B98" s="74"/>
      <c r="C98" s="74"/>
      <c r="D98" s="74"/>
      <c r="E98" s="74" t="s">
        <v>41</v>
      </c>
      <c r="F98" s="74" t="s">
        <v>42</v>
      </c>
      <c r="G98" s="74" t="s">
        <v>41</v>
      </c>
      <c r="H98" s="74" t="s">
        <v>42</v>
      </c>
      <c r="I98" s="74" t="s">
        <v>43</v>
      </c>
      <c r="J98" s="75" t="s">
        <v>44</v>
      </c>
      <c r="K98" s="75" t="s">
        <v>45</v>
      </c>
      <c r="L98" s="74" t="s">
        <v>43</v>
      </c>
      <c r="M98" s="116" t="s">
        <v>44</v>
      </c>
    </row>
    <row r="99" ht="14.25" spans="1:13">
      <c r="A99" s="77">
        <v>1</v>
      </c>
      <c r="B99" s="78" t="s">
        <v>14</v>
      </c>
      <c r="C99" s="79">
        <v>5</v>
      </c>
      <c r="D99" s="79">
        <v>10485</v>
      </c>
      <c r="E99" s="79">
        <v>7</v>
      </c>
      <c r="F99" s="79">
        <v>0</v>
      </c>
      <c r="G99" s="79">
        <v>0</v>
      </c>
      <c r="H99" s="79">
        <v>0</v>
      </c>
      <c r="I99" s="79">
        <v>125</v>
      </c>
      <c r="J99" s="79">
        <v>104</v>
      </c>
      <c r="K99" s="79">
        <v>1236</v>
      </c>
      <c r="L99" s="79">
        <v>0</v>
      </c>
      <c r="M99" s="101">
        <v>0</v>
      </c>
    </row>
    <row r="100" spans="1:13">
      <c r="A100" s="82">
        <v>2</v>
      </c>
      <c r="B100" s="83" t="s">
        <v>15</v>
      </c>
      <c r="C100" s="79">
        <v>5</v>
      </c>
      <c r="D100" s="79">
        <v>10485</v>
      </c>
      <c r="E100" s="84">
        <v>1</v>
      </c>
      <c r="F100" s="84">
        <v>0</v>
      </c>
      <c r="G100" s="84">
        <v>0</v>
      </c>
      <c r="H100" s="84">
        <v>0</v>
      </c>
      <c r="I100" s="84">
        <v>98</v>
      </c>
      <c r="J100" s="84">
        <v>113</v>
      </c>
      <c r="K100" s="84">
        <v>935</v>
      </c>
      <c r="L100" s="84">
        <v>0</v>
      </c>
      <c r="M100" s="103">
        <v>0</v>
      </c>
    </row>
    <row r="101" spans="1:13">
      <c r="A101" s="82">
        <v>3</v>
      </c>
      <c r="B101" s="83" t="s">
        <v>16</v>
      </c>
      <c r="C101" s="84"/>
      <c r="D101" s="84"/>
      <c r="E101" s="84"/>
      <c r="F101" s="84">
        <v>0</v>
      </c>
      <c r="G101" s="84"/>
      <c r="H101" s="84">
        <v>0</v>
      </c>
      <c r="I101" s="84"/>
      <c r="J101" s="84"/>
      <c r="K101" s="84"/>
      <c r="L101" s="84">
        <v>0</v>
      </c>
      <c r="M101" s="103">
        <v>0</v>
      </c>
    </row>
    <row r="102" spans="1:13">
      <c r="A102" s="82">
        <v>4</v>
      </c>
      <c r="B102" s="83" t="s">
        <v>17</v>
      </c>
      <c r="C102" s="84"/>
      <c r="D102" s="79"/>
      <c r="E102" s="84"/>
      <c r="F102" s="84">
        <v>0</v>
      </c>
      <c r="G102" s="84"/>
      <c r="H102" s="84">
        <v>0</v>
      </c>
      <c r="I102" s="84"/>
      <c r="J102" s="84"/>
      <c r="K102" s="84"/>
      <c r="L102" s="84">
        <v>0</v>
      </c>
      <c r="M102" s="103">
        <v>0</v>
      </c>
    </row>
    <row r="103" spans="1:13">
      <c r="A103" s="82">
        <v>5</v>
      </c>
      <c r="B103" s="83" t="s">
        <v>18</v>
      </c>
      <c r="C103" s="79"/>
      <c r="D103" s="79"/>
      <c r="E103" s="84"/>
      <c r="F103" s="84">
        <v>0</v>
      </c>
      <c r="G103" s="84"/>
      <c r="H103" s="84">
        <v>0</v>
      </c>
      <c r="I103" s="84"/>
      <c r="J103" s="84"/>
      <c r="K103" s="84"/>
      <c r="L103" s="84">
        <v>0</v>
      </c>
      <c r="M103" s="103">
        <v>0</v>
      </c>
    </row>
    <row r="104" spans="1:13">
      <c r="A104" s="82">
        <v>6</v>
      </c>
      <c r="B104" s="83" t="s">
        <v>19</v>
      </c>
      <c r="C104" s="84"/>
      <c r="D104" s="79"/>
      <c r="E104" s="84"/>
      <c r="F104" s="84">
        <v>0</v>
      </c>
      <c r="G104" s="84"/>
      <c r="H104" s="84">
        <v>0</v>
      </c>
      <c r="I104" s="84"/>
      <c r="J104" s="84"/>
      <c r="K104" s="84"/>
      <c r="L104" s="84">
        <v>0</v>
      </c>
      <c r="M104" s="103">
        <v>0</v>
      </c>
    </row>
    <row r="105" spans="1:13">
      <c r="A105" s="82">
        <v>7</v>
      </c>
      <c r="B105" s="83" t="s">
        <v>20</v>
      </c>
      <c r="C105" s="79"/>
      <c r="D105" s="79"/>
      <c r="E105" s="84"/>
      <c r="F105" s="84">
        <v>0</v>
      </c>
      <c r="G105" s="84"/>
      <c r="H105" s="84">
        <v>0</v>
      </c>
      <c r="I105" s="84"/>
      <c r="J105" s="84"/>
      <c r="K105" s="84"/>
      <c r="L105" s="84">
        <v>0</v>
      </c>
      <c r="M105" s="103">
        <v>0</v>
      </c>
    </row>
    <row r="106" spans="1:13">
      <c r="A106" s="82">
        <v>8</v>
      </c>
      <c r="B106" s="83" t="s">
        <v>21</v>
      </c>
      <c r="C106" s="79"/>
      <c r="D106" s="79"/>
      <c r="E106" s="84"/>
      <c r="F106" s="84">
        <v>0</v>
      </c>
      <c r="G106" s="84"/>
      <c r="H106" s="84">
        <v>0</v>
      </c>
      <c r="I106" s="84"/>
      <c r="J106" s="84"/>
      <c r="K106" s="84"/>
      <c r="L106" s="84">
        <v>0</v>
      </c>
      <c r="M106" s="103">
        <v>0</v>
      </c>
    </row>
    <row r="107" spans="1:13">
      <c r="A107" s="82">
        <v>9</v>
      </c>
      <c r="B107" s="83" t="s">
        <v>22</v>
      </c>
      <c r="C107" s="84"/>
      <c r="D107" s="79"/>
      <c r="E107" s="84"/>
      <c r="F107" s="84">
        <v>0</v>
      </c>
      <c r="G107" s="84"/>
      <c r="H107" s="84">
        <v>0</v>
      </c>
      <c r="I107" s="84"/>
      <c r="J107" s="84"/>
      <c r="K107" s="84"/>
      <c r="L107" s="84">
        <v>0</v>
      </c>
      <c r="M107" s="103">
        <v>0</v>
      </c>
    </row>
    <row r="108" spans="1:13">
      <c r="A108" s="82">
        <v>10</v>
      </c>
      <c r="B108" s="83" t="s">
        <v>23</v>
      </c>
      <c r="C108" s="79"/>
      <c r="D108" s="79"/>
      <c r="E108" s="84"/>
      <c r="F108" s="84">
        <v>0</v>
      </c>
      <c r="G108" s="84"/>
      <c r="H108" s="84">
        <v>0</v>
      </c>
      <c r="I108" s="84"/>
      <c r="J108" s="84"/>
      <c r="K108" s="84"/>
      <c r="L108" s="84">
        <v>0</v>
      </c>
      <c r="M108" s="103">
        <v>0</v>
      </c>
    </row>
    <row r="109" spans="1:13">
      <c r="A109" s="82">
        <v>11</v>
      </c>
      <c r="B109" s="83" t="s">
        <v>24</v>
      </c>
      <c r="C109" s="84"/>
      <c r="D109" s="79"/>
      <c r="E109" s="84"/>
      <c r="F109" s="84">
        <v>0</v>
      </c>
      <c r="G109" s="84"/>
      <c r="H109" s="84">
        <v>0</v>
      </c>
      <c r="I109" s="84"/>
      <c r="J109" s="84"/>
      <c r="K109" s="84"/>
      <c r="L109" s="84">
        <v>0</v>
      </c>
      <c r="M109" s="103">
        <v>0</v>
      </c>
    </row>
    <row r="110" ht="14.25" spans="1:13">
      <c r="A110" s="85">
        <v>12</v>
      </c>
      <c r="B110" s="86" t="s">
        <v>25</v>
      </c>
      <c r="C110" s="84"/>
      <c r="D110" s="79"/>
      <c r="E110" s="84"/>
      <c r="F110" s="84">
        <v>0</v>
      </c>
      <c r="G110" s="84"/>
      <c r="H110" s="84">
        <v>0</v>
      </c>
      <c r="I110" s="84"/>
      <c r="J110" s="84"/>
      <c r="K110" s="84"/>
      <c r="L110" s="84">
        <v>0</v>
      </c>
      <c r="M110" s="103">
        <v>0</v>
      </c>
    </row>
    <row r="111" ht="15" spans="1:13">
      <c r="A111" s="87" t="s">
        <v>26</v>
      </c>
      <c r="B111" s="88"/>
      <c r="C111" s="88">
        <f t="shared" ref="C111:M111" si="10">SUM(C99:C110)</f>
        <v>10</v>
      </c>
      <c r="D111" s="88">
        <f t="shared" si="10"/>
        <v>20970</v>
      </c>
      <c r="E111" s="88">
        <f t="shared" si="10"/>
        <v>8</v>
      </c>
      <c r="F111" s="88">
        <f t="shared" si="10"/>
        <v>0</v>
      </c>
      <c r="G111" s="88">
        <f t="shared" si="10"/>
        <v>0</v>
      </c>
      <c r="H111" s="88">
        <f t="shared" si="10"/>
        <v>0</v>
      </c>
      <c r="I111" s="88">
        <f t="shared" si="10"/>
        <v>223</v>
      </c>
      <c r="J111" s="88">
        <f t="shared" ref="J111" si="11">SUM(J99:J110)</f>
        <v>217</v>
      </c>
      <c r="K111" s="88">
        <f t="shared" si="10"/>
        <v>2171</v>
      </c>
      <c r="L111" s="88">
        <f t="shared" si="10"/>
        <v>0</v>
      </c>
      <c r="M111" s="90">
        <f t="shared" si="10"/>
        <v>0</v>
      </c>
    </row>
    <row r="112" ht="15"/>
    <row r="113" ht="15" spans="1:13">
      <c r="A113" s="92" t="s">
        <v>46</v>
      </c>
      <c r="B113" s="93"/>
      <c r="C113" s="93">
        <f t="shared" ref="C113:M113" si="12">SUM(C21,C39,C57,C75,C93,C111)</f>
        <v>76</v>
      </c>
      <c r="D113" s="93">
        <f t="shared" si="12"/>
        <v>135577</v>
      </c>
      <c r="E113" s="93">
        <f t="shared" si="12"/>
        <v>32</v>
      </c>
      <c r="F113" s="93">
        <f t="shared" si="12"/>
        <v>0</v>
      </c>
      <c r="G113" s="93">
        <f t="shared" si="12"/>
        <v>76</v>
      </c>
      <c r="H113" s="93">
        <f t="shared" si="12"/>
        <v>0</v>
      </c>
      <c r="I113" s="93">
        <f t="shared" si="12"/>
        <v>3896</v>
      </c>
      <c r="J113" s="93">
        <f t="shared" si="12"/>
        <v>2267</v>
      </c>
      <c r="K113" s="93">
        <f t="shared" si="12"/>
        <v>6417</v>
      </c>
      <c r="L113" s="93">
        <f t="shared" si="12"/>
        <v>10</v>
      </c>
      <c r="M113" s="95">
        <f t="shared" si="12"/>
        <v>14</v>
      </c>
    </row>
    <row r="114" ht="14.25"/>
  </sheetData>
  <mergeCells count="72">
    <mergeCell ref="A1:M1"/>
    <mergeCell ref="A2:M2"/>
    <mergeCell ref="A3:M3"/>
    <mergeCell ref="A5:M5"/>
    <mergeCell ref="E6:H6"/>
    <mergeCell ref="E7:F7"/>
    <mergeCell ref="G7:H7"/>
    <mergeCell ref="A21:B21"/>
    <mergeCell ref="A22:C22"/>
    <mergeCell ref="L22:M22"/>
    <mergeCell ref="A23:M23"/>
    <mergeCell ref="E24:H24"/>
    <mergeCell ref="E25:F25"/>
    <mergeCell ref="G25:H25"/>
    <mergeCell ref="A39:B39"/>
    <mergeCell ref="A41:M41"/>
    <mergeCell ref="E42:H42"/>
    <mergeCell ref="E43:F43"/>
    <mergeCell ref="G43:H43"/>
    <mergeCell ref="A57:B57"/>
    <mergeCell ref="A59:M59"/>
    <mergeCell ref="E60:H60"/>
    <mergeCell ref="E61:F61"/>
    <mergeCell ref="G61:H61"/>
    <mergeCell ref="A75:B75"/>
    <mergeCell ref="A77:M77"/>
    <mergeCell ref="E78:H78"/>
    <mergeCell ref="E79:F79"/>
    <mergeCell ref="G79:H79"/>
    <mergeCell ref="A93:B93"/>
    <mergeCell ref="A95:M95"/>
    <mergeCell ref="E96:H96"/>
    <mergeCell ref="E97:F97"/>
    <mergeCell ref="G97:H97"/>
    <mergeCell ref="A111:B111"/>
    <mergeCell ref="A113:B113"/>
    <mergeCell ref="A6:A8"/>
    <mergeCell ref="A24:A26"/>
    <mergeCell ref="A42:A44"/>
    <mergeCell ref="A60:A62"/>
    <mergeCell ref="A78:A80"/>
    <mergeCell ref="A96:A98"/>
    <mergeCell ref="B6:B8"/>
    <mergeCell ref="B24:B26"/>
    <mergeCell ref="B42:B44"/>
    <mergeCell ref="B60:B62"/>
    <mergeCell ref="B78:B80"/>
    <mergeCell ref="B96:B98"/>
    <mergeCell ref="C6:C8"/>
    <mergeCell ref="C24:C26"/>
    <mergeCell ref="C42:C44"/>
    <mergeCell ref="C60:C62"/>
    <mergeCell ref="C78:C80"/>
    <mergeCell ref="C96:C98"/>
    <mergeCell ref="D6:D8"/>
    <mergeCell ref="D24:D26"/>
    <mergeCell ref="D42:D44"/>
    <mergeCell ref="D60:D62"/>
    <mergeCell ref="D78:D80"/>
    <mergeCell ref="D96:D98"/>
    <mergeCell ref="I96:K97"/>
    <mergeCell ref="L96:M97"/>
    <mergeCell ref="I6:K7"/>
    <mergeCell ref="L6:M7"/>
    <mergeCell ref="I24:K25"/>
    <mergeCell ref="L24:M25"/>
    <mergeCell ref="I42:K43"/>
    <mergeCell ref="L42:M43"/>
    <mergeCell ref="I78:K79"/>
    <mergeCell ref="L78:M79"/>
    <mergeCell ref="I60:K61"/>
    <mergeCell ref="L60:M61"/>
  </mergeCells>
  <printOptions horizontalCentered="1"/>
  <pageMargins left="0.5" right="0.25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114"/>
  <sheetViews>
    <sheetView zoomScale="120" zoomScaleNormal="120" showWhiteSpace="0" workbookViewId="0">
      <selection activeCell="H36" sqref="H36"/>
    </sheetView>
  </sheetViews>
  <sheetFormatPr defaultColWidth="9" defaultRowHeight="13.5"/>
  <cols>
    <col min="1" max="1" width="6.88571428571429" style="1" customWidth="1"/>
    <col min="2" max="2" width="24" style="1" customWidth="1"/>
    <col min="3" max="11" width="13.4380952380952" style="1" customWidth="1"/>
    <col min="12" max="16384" width="9" style="1"/>
  </cols>
  <sheetData>
    <row r="1" ht="14.25" spans="1:11">
      <c r="A1" s="55" t="s">
        <v>49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ht="14.25" spans="1:1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ht="14.25" spans="1:1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ht="15" spans="1:1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</row>
    <row r="5" ht="15" spans="1:1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5"/>
    </row>
    <row r="6" ht="21" customHeight="1" spans="1:11">
      <c r="A6" s="56" t="s">
        <v>4</v>
      </c>
      <c r="B6" s="57" t="s">
        <v>5</v>
      </c>
      <c r="C6" s="58" t="s">
        <v>34</v>
      </c>
      <c r="D6" s="58" t="s">
        <v>35</v>
      </c>
      <c r="E6" s="59" t="s">
        <v>50</v>
      </c>
      <c r="F6" s="60"/>
      <c r="G6" s="60"/>
      <c r="H6" s="60"/>
      <c r="I6" s="62" t="s">
        <v>38</v>
      </c>
      <c r="J6" s="63"/>
      <c r="K6" s="64"/>
    </row>
    <row r="7" ht="15.75" customHeight="1" spans="1:11">
      <c r="A7" s="65"/>
      <c r="B7" s="66"/>
      <c r="C7" s="66"/>
      <c r="D7" s="66"/>
      <c r="E7" s="67" t="s">
        <v>43</v>
      </c>
      <c r="F7" s="68"/>
      <c r="G7" s="67" t="s">
        <v>44</v>
      </c>
      <c r="H7" s="106"/>
      <c r="I7" s="69"/>
      <c r="J7" s="70"/>
      <c r="K7" s="71"/>
    </row>
    <row r="8" ht="15.75" customHeight="1" spans="1:11">
      <c r="A8" s="72"/>
      <c r="B8" s="73"/>
      <c r="C8" s="74"/>
      <c r="D8" s="74"/>
      <c r="E8" s="74" t="s">
        <v>51</v>
      </c>
      <c r="F8" s="75" t="s">
        <v>48</v>
      </c>
      <c r="G8" s="74" t="s">
        <v>51</v>
      </c>
      <c r="H8" s="75" t="s">
        <v>48</v>
      </c>
      <c r="I8" s="74" t="s">
        <v>43</v>
      </c>
      <c r="J8" s="75" t="s">
        <v>44</v>
      </c>
      <c r="K8" s="76" t="s">
        <v>45</v>
      </c>
    </row>
    <row r="9" ht="14.25" spans="1:11">
      <c r="A9" s="77">
        <v>1</v>
      </c>
      <c r="B9" s="78" t="s">
        <v>14</v>
      </c>
      <c r="C9" s="79">
        <v>13</v>
      </c>
      <c r="D9" s="79">
        <v>9254</v>
      </c>
      <c r="E9" s="79">
        <v>17</v>
      </c>
      <c r="F9" s="79">
        <v>102</v>
      </c>
      <c r="G9" s="79">
        <v>16</v>
      </c>
      <c r="H9" s="79">
        <v>44</v>
      </c>
      <c r="I9" s="79">
        <v>526</v>
      </c>
      <c r="J9" s="80">
        <v>199</v>
      </c>
      <c r="K9" s="81">
        <v>339</v>
      </c>
    </row>
    <row r="10" spans="1:11">
      <c r="A10" s="82">
        <v>2</v>
      </c>
      <c r="B10" s="83" t="s">
        <v>15</v>
      </c>
      <c r="C10" s="84">
        <v>25</v>
      </c>
      <c r="D10" s="84">
        <v>17666</v>
      </c>
      <c r="E10" s="84">
        <v>29</v>
      </c>
      <c r="F10" s="84">
        <v>108</v>
      </c>
      <c r="G10" s="84">
        <v>25</v>
      </c>
      <c r="H10" s="84">
        <v>41</v>
      </c>
      <c r="I10" s="84">
        <v>567</v>
      </c>
      <c r="J10" s="102">
        <v>297</v>
      </c>
      <c r="K10" s="103">
        <v>484</v>
      </c>
    </row>
    <row r="11" spans="1:11">
      <c r="A11" s="82">
        <v>3</v>
      </c>
      <c r="B11" s="83" t="s">
        <v>16</v>
      </c>
      <c r="C11" s="84"/>
      <c r="D11" s="84"/>
      <c r="E11" s="84"/>
      <c r="F11" s="84"/>
      <c r="G11" s="84"/>
      <c r="H11" s="84"/>
      <c r="I11" s="84"/>
      <c r="J11" s="102"/>
      <c r="K11" s="103"/>
    </row>
    <row r="12" spans="1:11">
      <c r="A12" s="82">
        <v>4</v>
      </c>
      <c r="B12" s="83" t="s">
        <v>17</v>
      </c>
      <c r="C12" s="79"/>
      <c r="D12" s="79"/>
      <c r="E12" s="84"/>
      <c r="F12" s="84"/>
      <c r="G12" s="84"/>
      <c r="H12" s="84"/>
      <c r="I12" s="84"/>
      <c r="J12" s="102"/>
      <c r="K12" s="103"/>
    </row>
    <row r="13" spans="1:11">
      <c r="A13" s="82">
        <v>5</v>
      </c>
      <c r="B13" s="83" t="s">
        <v>18</v>
      </c>
      <c r="C13" s="79"/>
      <c r="D13" s="79"/>
      <c r="E13" s="84"/>
      <c r="F13" s="84"/>
      <c r="G13" s="84"/>
      <c r="H13" s="84"/>
      <c r="I13" s="84"/>
      <c r="J13" s="102"/>
      <c r="K13" s="103"/>
    </row>
    <row r="14" spans="1:11">
      <c r="A14" s="82">
        <v>6</v>
      </c>
      <c r="B14" s="83" t="s">
        <v>19</v>
      </c>
      <c r="C14" s="79"/>
      <c r="D14" s="79"/>
      <c r="E14" s="84"/>
      <c r="F14" s="84"/>
      <c r="G14" s="84"/>
      <c r="H14" s="84"/>
      <c r="I14" s="84"/>
      <c r="J14" s="102"/>
      <c r="K14" s="103"/>
    </row>
    <row r="15" spans="1:11">
      <c r="A15" s="82">
        <v>7</v>
      </c>
      <c r="B15" s="83" t="s">
        <v>20</v>
      </c>
      <c r="C15" s="79"/>
      <c r="D15" s="79"/>
      <c r="E15" s="84"/>
      <c r="F15" s="84"/>
      <c r="G15" s="84"/>
      <c r="H15" s="84"/>
      <c r="I15" s="84"/>
      <c r="J15" s="102"/>
      <c r="K15" s="103"/>
    </row>
    <row r="16" spans="1:11">
      <c r="A16" s="82">
        <v>8</v>
      </c>
      <c r="B16" s="83" t="s">
        <v>21</v>
      </c>
      <c r="C16" s="79"/>
      <c r="D16" s="79"/>
      <c r="E16" s="84"/>
      <c r="F16" s="84"/>
      <c r="G16" s="84"/>
      <c r="H16" s="84"/>
      <c r="I16" s="84"/>
      <c r="J16" s="102"/>
      <c r="K16" s="103"/>
    </row>
    <row r="17" spans="1:11">
      <c r="A17" s="82">
        <v>9</v>
      </c>
      <c r="B17" s="83" t="s">
        <v>22</v>
      </c>
      <c r="C17" s="84"/>
      <c r="D17" s="84"/>
      <c r="E17" s="84"/>
      <c r="F17" s="84"/>
      <c r="G17" s="84"/>
      <c r="H17" s="84"/>
      <c r="I17" s="84"/>
      <c r="J17" s="102"/>
      <c r="K17" s="103"/>
    </row>
    <row r="18" spans="1:11">
      <c r="A18" s="82">
        <v>10</v>
      </c>
      <c r="B18" s="83" t="s">
        <v>23</v>
      </c>
      <c r="C18" s="84"/>
      <c r="D18" s="84"/>
      <c r="E18" s="84"/>
      <c r="F18" s="84"/>
      <c r="G18" s="84"/>
      <c r="H18" s="84"/>
      <c r="I18" s="84"/>
      <c r="J18" s="102"/>
      <c r="K18" s="103"/>
    </row>
    <row r="19" spans="1:11">
      <c r="A19" s="82">
        <v>11</v>
      </c>
      <c r="B19" s="83" t="s">
        <v>24</v>
      </c>
      <c r="C19" s="79"/>
      <c r="D19" s="79"/>
      <c r="E19" s="84"/>
      <c r="F19" s="84"/>
      <c r="G19" s="84"/>
      <c r="H19" s="84"/>
      <c r="I19" s="84"/>
      <c r="J19" s="102"/>
      <c r="K19" s="103"/>
    </row>
    <row r="20" ht="14.25" spans="1:11">
      <c r="A20" s="85">
        <v>12</v>
      </c>
      <c r="B20" s="86" t="s">
        <v>25</v>
      </c>
      <c r="C20" s="84"/>
      <c r="D20" s="79"/>
      <c r="E20" s="84"/>
      <c r="F20" s="84"/>
      <c r="G20" s="84"/>
      <c r="H20" s="84"/>
      <c r="I20" s="84"/>
      <c r="J20" s="102"/>
      <c r="K20" s="103"/>
    </row>
    <row r="21" ht="17.25" customHeight="1" spans="1:11">
      <c r="A21" s="87" t="s">
        <v>26</v>
      </c>
      <c r="B21" s="88"/>
      <c r="C21" s="88">
        <f>SUM(C9:C20)</f>
        <v>38</v>
      </c>
      <c r="D21" s="88">
        <f>SUM(D9:D20)</f>
        <v>26920</v>
      </c>
      <c r="E21" s="88">
        <f t="shared" ref="E21:K21" si="0">SUM(E9:E20)</f>
        <v>46</v>
      </c>
      <c r="F21" s="88">
        <f t="shared" si="0"/>
        <v>210</v>
      </c>
      <c r="G21" s="88">
        <f t="shared" si="0"/>
        <v>41</v>
      </c>
      <c r="H21" s="88">
        <f t="shared" si="0"/>
        <v>85</v>
      </c>
      <c r="I21" s="88">
        <f t="shared" si="0"/>
        <v>1093</v>
      </c>
      <c r="J21" s="89">
        <f t="shared" ref="J21" si="1">SUM(J9:J20)</f>
        <v>496</v>
      </c>
      <c r="K21" s="90">
        <f t="shared" si="0"/>
        <v>823</v>
      </c>
    </row>
    <row r="22" ht="15" spans="1:1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15" spans="1:11">
      <c r="A23" s="3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5"/>
    </row>
    <row r="24" ht="14.25" spans="1:11">
      <c r="A24" s="56" t="s">
        <v>4</v>
      </c>
      <c r="B24" s="57" t="s">
        <v>5</v>
      </c>
      <c r="C24" s="58" t="s">
        <v>34</v>
      </c>
      <c r="D24" s="58" t="s">
        <v>35</v>
      </c>
      <c r="E24" s="59" t="s">
        <v>50</v>
      </c>
      <c r="F24" s="60"/>
      <c r="G24" s="60"/>
      <c r="H24" s="60"/>
      <c r="I24" s="62" t="s">
        <v>38</v>
      </c>
      <c r="J24" s="63"/>
      <c r="K24" s="64"/>
    </row>
    <row r="25" spans="1:11">
      <c r="A25" s="65"/>
      <c r="B25" s="66"/>
      <c r="C25" s="66"/>
      <c r="D25" s="66"/>
      <c r="E25" s="67" t="s">
        <v>43</v>
      </c>
      <c r="F25" s="68"/>
      <c r="G25" s="67" t="s">
        <v>44</v>
      </c>
      <c r="H25" s="106"/>
      <c r="I25" s="69"/>
      <c r="J25" s="70"/>
      <c r="K25" s="71"/>
    </row>
    <row r="26" ht="14.25" spans="1:11">
      <c r="A26" s="72"/>
      <c r="B26" s="73"/>
      <c r="C26" s="74"/>
      <c r="D26" s="74"/>
      <c r="E26" s="74" t="s">
        <v>51</v>
      </c>
      <c r="F26" s="75" t="s">
        <v>48</v>
      </c>
      <c r="G26" s="74" t="s">
        <v>51</v>
      </c>
      <c r="H26" s="75" t="s">
        <v>48</v>
      </c>
      <c r="I26" s="74" t="s">
        <v>43</v>
      </c>
      <c r="J26" s="107" t="s">
        <v>44</v>
      </c>
      <c r="K26" s="76" t="s">
        <v>45</v>
      </c>
    </row>
    <row r="27" ht="14.25" spans="1:11">
      <c r="A27" s="77">
        <v>1</v>
      </c>
      <c r="B27" s="78" t="s">
        <v>14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80">
        <v>0</v>
      </c>
      <c r="K27" s="81">
        <v>0</v>
      </c>
    </row>
    <row r="28" spans="1:11">
      <c r="A28" s="82">
        <v>2</v>
      </c>
      <c r="B28" s="83" t="s">
        <v>15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4">
        <v>0</v>
      </c>
      <c r="J28" s="102">
        <v>0</v>
      </c>
      <c r="K28" s="103">
        <v>0</v>
      </c>
    </row>
    <row r="29" spans="1:11">
      <c r="A29" s="82">
        <v>3</v>
      </c>
      <c r="B29" s="83" t="s">
        <v>16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102">
        <v>0</v>
      </c>
      <c r="K29" s="103">
        <v>0</v>
      </c>
    </row>
    <row r="30" spans="1:11">
      <c r="A30" s="82">
        <v>4</v>
      </c>
      <c r="B30" s="83" t="s">
        <v>17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102">
        <v>0</v>
      </c>
      <c r="K30" s="103">
        <v>0</v>
      </c>
    </row>
    <row r="31" spans="1:11">
      <c r="A31" s="82">
        <v>5</v>
      </c>
      <c r="B31" s="83" t="s">
        <v>18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102">
        <v>0</v>
      </c>
      <c r="K31" s="103">
        <v>0</v>
      </c>
    </row>
    <row r="32" spans="1:11">
      <c r="A32" s="82">
        <v>6</v>
      </c>
      <c r="B32" s="83" t="s">
        <v>19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102">
        <v>0</v>
      </c>
      <c r="K32" s="103">
        <v>0</v>
      </c>
    </row>
    <row r="33" spans="1:11">
      <c r="A33" s="82">
        <v>7</v>
      </c>
      <c r="B33" s="83" t="s">
        <v>20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102">
        <v>0</v>
      </c>
      <c r="K33" s="103">
        <v>0</v>
      </c>
    </row>
    <row r="34" spans="1:11">
      <c r="A34" s="82">
        <v>8</v>
      </c>
      <c r="B34" s="83" t="s">
        <v>21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102">
        <v>0</v>
      </c>
      <c r="K34" s="103">
        <v>0</v>
      </c>
    </row>
    <row r="35" spans="1:11">
      <c r="A35" s="82">
        <v>9</v>
      </c>
      <c r="B35" s="83" t="s">
        <v>22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102">
        <v>0</v>
      </c>
      <c r="K35" s="103">
        <v>0</v>
      </c>
    </row>
    <row r="36" spans="1:11">
      <c r="A36" s="82">
        <v>10</v>
      </c>
      <c r="B36" s="83" t="s">
        <v>23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102">
        <v>0</v>
      </c>
      <c r="K36" s="103">
        <v>0</v>
      </c>
    </row>
    <row r="37" spans="1:11">
      <c r="A37" s="82">
        <v>11</v>
      </c>
      <c r="B37" s="83" t="s">
        <v>24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102">
        <v>0</v>
      </c>
      <c r="K37" s="103">
        <v>0</v>
      </c>
    </row>
    <row r="38" ht="14.25" spans="1:11">
      <c r="A38" s="85">
        <v>12</v>
      </c>
      <c r="B38" s="86" t="s">
        <v>25</v>
      </c>
      <c r="C38" s="84">
        <v>0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4">
        <v>0</v>
      </c>
      <c r="J38" s="102">
        <v>0</v>
      </c>
      <c r="K38" s="103">
        <v>0</v>
      </c>
    </row>
    <row r="39" ht="15" spans="1:11">
      <c r="A39" s="87" t="s">
        <v>26</v>
      </c>
      <c r="B39" s="88"/>
      <c r="C39" s="88">
        <f>SUM(C27:C38)</f>
        <v>0</v>
      </c>
      <c r="D39" s="88">
        <f>SUM(D27:D38)</f>
        <v>0</v>
      </c>
      <c r="E39" s="88">
        <f t="shared" ref="E39:K39" si="2">SUM(E27:E38)</f>
        <v>0</v>
      </c>
      <c r="F39" s="88">
        <f t="shared" si="2"/>
        <v>0</v>
      </c>
      <c r="G39" s="88">
        <f t="shared" si="2"/>
        <v>0</v>
      </c>
      <c r="H39" s="88">
        <f t="shared" si="2"/>
        <v>0</v>
      </c>
      <c r="I39" s="88">
        <f t="shared" si="2"/>
        <v>0</v>
      </c>
      <c r="J39" s="89">
        <f t="shared" ref="J39" si="3">SUM(J27:J38)</f>
        <v>0</v>
      </c>
      <c r="K39" s="90">
        <f t="shared" si="2"/>
        <v>0</v>
      </c>
    </row>
    <row r="40" ht="15"/>
    <row r="41" ht="15" spans="1:11">
      <c r="A41" s="3" t="s">
        <v>28</v>
      </c>
      <c r="B41" s="4"/>
      <c r="C41" s="4"/>
      <c r="D41" s="4"/>
      <c r="E41" s="4"/>
      <c r="F41" s="4"/>
      <c r="G41" s="4"/>
      <c r="H41" s="4"/>
      <c r="I41" s="4"/>
      <c r="J41" s="4"/>
      <c r="K41" s="5"/>
    </row>
    <row r="42" ht="14.25" spans="1:11">
      <c r="A42" s="56" t="s">
        <v>4</v>
      </c>
      <c r="B42" s="57" t="s">
        <v>5</v>
      </c>
      <c r="C42" s="58" t="s">
        <v>34</v>
      </c>
      <c r="D42" s="58" t="s">
        <v>35</v>
      </c>
      <c r="E42" s="59" t="s">
        <v>50</v>
      </c>
      <c r="F42" s="60"/>
      <c r="G42" s="60"/>
      <c r="H42" s="60"/>
      <c r="I42" s="62" t="s">
        <v>38</v>
      </c>
      <c r="J42" s="63"/>
      <c r="K42" s="64"/>
    </row>
    <row r="43" spans="1:11">
      <c r="A43" s="65"/>
      <c r="B43" s="66"/>
      <c r="C43" s="66"/>
      <c r="D43" s="66"/>
      <c r="E43" s="67" t="s">
        <v>43</v>
      </c>
      <c r="F43" s="68"/>
      <c r="G43" s="67" t="s">
        <v>44</v>
      </c>
      <c r="H43" s="106"/>
      <c r="I43" s="69"/>
      <c r="J43" s="70"/>
      <c r="K43" s="71"/>
    </row>
    <row r="44" ht="14.25" spans="1:11">
      <c r="A44" s="72"/>
      <c r="B44" s="73"/>
      <c r="C44" s="74"/>
      <c r="D44" s="74"/>
      <c r="E44" s="74" t="s">
        <v>51</v>
      </c>
      <c r="F44" s="75" t="s">
        <v>48</v>
      </c>
      <c r="G44" s="74" t="s">
        <v>51</v>
      </c>
      <c r="H44" s="75" t="s">
        <v>48</v>
      </c>
      <c r="I44" s="74" t="s">
        <v>43</v>
      </c>
      <c r="J44" s="75" t="s">
        <v>44</v>
      </c>
      <c r="K44" s="76" t="s">
        <v>45</v>
      </c>
    </row>
    <row r="45" ht="14.25" spans="1:11">
      <c r="A45" s="77">
        <v>1</v>
      </c>
      <c r="B45" s="78" t="s">
        <v>14</v>
      </c>
      <c r="C45" s="79">
        <v>7</v>
      </c>
      <c r="D45" s="79">
        <v>5894</v>
      </c>
      <c r="E45" s="79">
        <v>0</v>
      </c>
      <c r="F45" s="79">
        <v>78</v>
      </c>
      <c r="G45" s="79">
        <v>0</v>
      </c>
      <c r="H45" s="79">
        <v>51</v>
      </c>
      <c r="I45" s="79">
        <v>299</v>
      </c>
      <c r="J45" s="80">
        <v>170</v>
      </c>
      <c r="K45" s="81">
        <v>413</v>
      </c>
    </row>
    <row r="46" spans="1:11">
      <c r="A46" s="82">
        <v>2</v>
      </c>
      <c r="B46" s="83" t="s">
        <v>15</v>
      </c>
      <c r="C46" s="84">
        <v>13</v>
      </c>
      <c r="D46" s="84">
        <v>10946</v>
      </c>
      <c r="E46" s="84">
        <v>0</v>
      </c>
      <c r="F46" s="84">
        <v>74</v>
      </c>
      <c r="G46" s="84">
        <v>0</v>
      </c>
      <c r="H46" s="84">
        <v>99</v>
      </c>
      <c r="I46" s="84">
        <v>271</v>
      </c>
      <c r="J46" s="102">
        <v>260</v>
      </c>
      <c r="K46" s="103">
        <v>538</v>
      </c>
    </row>
    <row r="47" spans="1:11">
      <c r="A47" s="82">
        <v>3</v>
      </c>
      <c r="B47" s="83" t="s">
        <v>16</v>
      </c>
      <c r="C47" s="84"/>
      <c r="D47" s="84"/>
      <c r="E47" s="84"/>
      <c r="F47" s="84"/>
      <c r="G47" s="84"/>
      <c r="H47" s="84"/>
      <c r="I47" s="84"/>
      <c r="J47" s="102"/>
      <c r="K47" s="103"/>
    </row>
    <row r="48" spans="1:11">
      <c r="A48" s="82">
        <v>4</v>
      </c>
      <c r="B48" s="83" t="s">
        <v>17</v>
      </c>
      <c r="C48" s="84"/>
      <c r="D48" s="84"/>
      <c r="E48" s="84"/>
      <c r="F48" s="84"/>
      <c r="G48" s="84"/>
      <c r="H48" s="84"/>
      <c r="I48" s="84"/>
      <c r="J48" s="102"/>
      <c r="K48" s="103"/>
    </row>
    <row r="49" spans="1:11">
      <c r="A49" s="82">
        <v>5</v>
      </c>
      <c r="B49" s="83" t="s">
        <v>18</v>
      </c>
      <c r="C49" s="84"/>
      <c r="D49" s="84"/>
      <c r="E49" s="84"/>
      <c r="F49" s="84"/>
      <c r="G49" s="84"/>
      <c r="H49" s="84"/>
      <c r="I49" s="84"/>
      <c r="J49" s="102"/>
      <c r="K49" s="103"/>
    </row>
    <row r="50" spans="1:11">
      <c r="A50" s="82">
        <v>6</v>
      </c>
      <c r="B50" s="83" t="s">
        <v>19</v>
      </c>
      <c r="C50" s="84"/>
      <c r="D50" s="84"/>
      <c r="E50" s="84"/>
      <c r="F50" s="84"/>
      <c r="G50" s="84"/>
      <c r="H50" s="84"/>
      <c r="I50" s="84"/>
      <c r="J50" s="102"/>
      <c r="K50" s="103"/>
    </row>
    <row r="51" spans="1:11">
      <c r="A51" s="82">
        <v>7</v>
      </c>
      <c r="B51" s="83" t="s">
        <v>20</v>
      </c>
      <c r="C51" s="84"/>
      <c r="D51" s="84"/>
      <c r="E51" s="84"/>
      <c r="F51" s="84"/>
      <c r="G51" s="84"/>
      <c r="H51" s="84"/>
      <c r="I51" s="84"/>
      <c r="J51" s="102"/>
      <c r="K51" s="103"/>
    </row>
    <row r="52" spans="1:11">
      <c r="A52" s="82">
        <v>8</v>
      </c>
      <c r="B52" s="83" t="s">
        <v>21</v>
      </c>
      <c r="C52" s="84"/>
      <c r="D52" s="84"/>
      <c r="E52" s="84"/>
      <c r="F52" s="84"/>
      <c r="G52" s="84"/>
      <c r="H52" s="84"/>
      <c r="I52" s="84"/>
      <c r="J52" s="102"/>
      <c r="K52" s="103"/>
    </row>
    <row r="53" spans="1:11">
      <c r="A53" s="82">
        <v>9</v>
      </c>
      <c r="B53" s="83" t="s">
        <v>22</v>
      </c>
      <c r="C53" s="84"/>
      <c r="D53" s="84"/>
      <c r="E53" s="84"/>
      <c r="F53" s="84"/>
      <c r="G53" s="84"/>
      <c r="H53" s="84"/>
      <c r="I53" s="84"/>
      <c r="J53" s="102"/>
      <c r="K53" s="103"/>
    </row>
    <row r="54" spans="1:11">
      <c r="A54" s="82">
        <v>10</v>
      </c>
      <c r="B54" s="83" t="s">
        <v>23</v>
      </c>
      <c r="C54" s="84"/>
      <c r="D54" s="84"/>
      <c r="E54" s="84"/>
      <c r="F54" s="84"/>
      <c r="G54" s="84"/>
      <c r="H54" s="84"/>
      <c r="I54" s="84"/>
      <c r="J54" s="102"/>
      <c r="K54" s="103"/>
    </row>
    <row r="55" spans="1:11">
      <c r="A55" s="82">
        <v>11</v>
      </c>
      <c r="B55" s="83" t="s">
        <v>24</v>
      </c>
      <c r="C55" s="84"/>
      <c r="D55" s="84"/>
      <c r="E55" s="84"/>
      <c r="F55" s="84"/>
      <c r="G55" s="84"/>
      <c r="H55" s="84"/>
      <c r="I55" s="84"/>
      <c r="J55" s="102"/>
      <c r="K55" s="103"/>
    </row>
    <row r="56" ht="14.25" spans="1:11">
      <c r="A56" s="85">
        <v>12</v>
      </c>
      <c r="B56" s="86" t="s">
        <v>25</v>
      </c>
      <c r="C56" s="84"/>
      <c r="D56" s="84"/>
      <c r="E56" s="84"/>
      <c r="F56" s="84"/>
      <c r="G56" s="84"/>
      <c r="H56" s="84"/>
      <c r="I56" s="84"/>
      <c r="J56" s="102"/>
      <c r="K56" s="103"/>
    </row>
    <row r="57" ht="15" spans="1:11">
      <c r="A57" s="87" t="s">
        <v>26</v>
      </c>
      <c r="B57" s="88"/>
      <c r="C57" s="88">
        <f>SUM(C45:C56)</f>
        <v>20</v>
      </c>
      <c r="D57" s="88">
        <f>SUM(D45:D56)</f>
        <v>16840</v>
      </c>
      <c r="E57" s="88">
        <f t="shared" ref="E57:K57" si="4">SUM(E45:E56)</f>
        <v>0</v>
      </c>
      <c r="F57" s="88">
        <f t="shared" si="4"/>
        <v>152</v>
      </c>
      <c r="G57" s="88">
        <f t="shared" si="4"/>
        <v>0</v>
      </c>
      <c r="H57" s="88">
        <f t="shared" si="4"/>
        <v>150</v>
      </c>
      <c r="I57" s="88">
        <f t="shared" si="4"/>
        <v>570</v>
      </c>
      <c r="J57" s="89">
        <f t="shared" ref="J57" si="5">SUM(J45:J56)</f>
        <v>430</v>
      </c>
      <c r="K57" s="90">
        <f t="shared" si="4"/>
        <v>951</v>
      </c>
    </row>
    <row r="58" ht="15"/>
    <row r="59" ht="15" spans="1:11">
      <c r="A59" s="3" t="s">
        <v>29</v>
      </c>
      <c r="B59" s="4"/>
      <c r="C59" s="4"/>
      <c r="D59" s="4"/>
      <c r="E59" s="4"/>
      <c r="F59" s="4"/>
      <c r="G59" s="4"/>
      <c r="H59" s="4"/>
      <c r="I59" s="4"/>
      <c r="J59" s="4"/>
      <c r="K59" s="5"/>
    </row>
    <row r="60" ht="14.25" spans="1:11">
      <c r="A60" s="56" t="s">
        <v>4</v>
      </c>
      <c r="B60" s="57" t="s">
        <v>5</v>
      </c>
      <c r="C60" s="58" t="s">
        <v>34</v>
      </c>
      <c r="D60" s="58" t="s">
        <v>35</v>
      </c>
      <c r="E60" s="59" t="s">
        <v>50</v>
      </c>
      <c r="F60" s="60"/>
      <c r="G60" s="60"/>
      <c r="H60" s="60"/>
      <c r="I60" s="62" t="s">
        <v>38</v>
      </c>
      <c r="J60" s="63"/>
      <c r="K60" s="64"/>
    </row>
    <row r="61" spans="1:11">
      <c r="A61" s="65"/>
      <c r="B61" s="66"/>
      <c r="C61" s="66"/>
      <c r="D61" s="66"/>
      <c r="E61" s="67" t="s">
        <v>43</v>
      </c>
      <c r="F61" s="68"/>
      <c r="G61" s="67" t="s">
        <v>44</v>
      </c>
      <c r="H61" s="106"/>
      <c r="I61" s="69"/>
      <c r="J61" s="70"/>
      <c r="K61" s="71"/>
    </row>
    <row r="62" ht="14.25" spans="1:11">
      <c r="A62" s="72"/>
      <c r="B62" s="73"/>
      <c r="C62" s="74"/>
      <c r="D62" s="74"/>
      <c r="E62" s="74" t="s">
        <v>51</v>
      </c>
      <c r="F62" s="75" t="s">
        <v>48</v>
      </c>
      <c r="G62" s="74" t="s">
        <v>51</v>
      </c>
      <c r="H62" s="75" t="s">
        <v>48</v>
      </c>
      <c r="I62" s="74" t="s">
        <v>43</v>
      </c>
      <c r="J62" s="75" t="s">
        <v>44</v>
      </c>
      <c r="K62" s="76" t="s">
        <v>45</v>
      </c>
    </row>
    <row r="63" ht="14.25" spans="1:11">
      <c r="A63" s="77">
        <v>1</v>
      </c>
      <c r="B63" s="78" t="s">
        <v>14</v>
      </c>
      <c r="C63" s="79">
        <v>8</v>
      </c>
      <c r="D63" s="79">
        <v>6736</v>
      </c>
      <c r="E63" s="79">
        <v>4</v>
      </c>
      <c r="F63" s="79">
        <v>14</v>
      </c>
      <c r="G63" s="79">
        <v>1</v>
      </c>
      <c r="H63" s="79">
        <v>9</v>
      </c>
      <c r="I63" s="79">
        <v>71</v>
      </c>
      <c r="J63" s="80">
        <v>67</v>
      </c>
      <c r="K63" s="81">
        <v>113</v>
      </c>
    </row>
    <row r="64" spans="1:11">
      <c r="A64" s="82">
        <v>2</v>
      </c>
      <c r="B64" s="83" t="s">
        <v>15</v>
      </c>
      <c r="C64" s="84">
        <v>12</v>
      </c>
      <c r="D64" s="84">
        <v>10104</v>
      </c>
      <c r="E64" s="84">
        <v>2</v>
      </c>
      <c r="F64" s="84">
        <v>12</v>
      </c>
      <c r="G64" s="84">
        <v>2</v>
      </c>
      <c r="H64" s="84">
        <v>3</v>
      </c>
      <c r="I64" s="84">
        <v>73</v>
      </c>
      <c r="J64" s="102">
        <v>63</v>
      </c>
      <c r="K64" s="103">
        <v>175</v>
      </c>
    </row>
    <row r="65" spans="1:11">
      <c r="A65" s="82">
        <v>3</v>
      </c>
      <c r="B65" s="83" t="s">
        <v>16</v>
      </c>
      <c r="C65" s="84"/>
      <c r="D65" s="84"/>
      <c r="E65" s="84"/>
      <c r="F65" s="84"/>
      <c r="G65" s="84"/>
      <c r="H65" s="84"/>
      <c r="I65" s="84"/>
      <c r="J65" s="102"/>
      <c r="K65" s="103"/>
    </row>
    <row r="66" spans="1:11">
      <c r="A66" s="82">
        <v>4</v>
      </c>
      <c r="B66" s="83" t="s">
        <v>17</v>
      </c>
      <c r="C66" s="84"/>
      <c r="D66" s="84"/>
      <c r="E66" s="84"/>
      <c r="F66" s="84"/>
      <c r="G66" s="84"/>
      <c r="H66" s="84"/>
      <c r="I66" s="84"/>
      <c r="J66" s="102"/>
      <c r="K66" s="103"/>
    </row>
    <row r="67" spans="1:11">
      <c r="A67" s="82">
        <v>5</v>
      </c>
      <c r="B67" s="83" t="s">
        <v>18</v>
      </c>
      <c r="C67" s="84"/>
      <c r="D67" s="84"/>
      <c r="E67" s="84"/>
      <c r="F67" s="84"/>
      <c r="G67" s="84"/>
      <c r="H67" s="84"/>
      <c r="I67" s="84"/>
      <c r="J67" s="102"/>
      <c r="K67" s="103"/>
    </row>
    <row r="68" spans="1:11">
      <c r="A68" s="82">
        <v>6</v>
      </c>
      <c r="B68" s="83" t="s">
        <v>19</v>
      </c>
      <c r="C68" s="84"/>
      <c r="D68" s="84"/>
      <c r="E68" s="84"/>
      <c r="F68" s="84"/>
      <c r="G68" s="84"/>
      <c r="H68" s="84"/>
      <c r="I68" s="84"/>
      <c r="J68" s="102"/>
      <c r="K68" s="103"/>
    </row>
    <row r="69" spans="1:11">
      <c r="A69" s="82">
        <v>7</v>
      </c>
      <c r="B69" s="83" t="s">
        <v>20</v>
      </c>
      <c r="C69" s="84"/>
      <c r="D69" s="84"/>
      <c r="E69" s="84"/>
      <c r="F69" s="84"/>
      <c r="G69" s="84"/>
      <c r="H69" s="84"/>
      <c r="I69" s="84"/>
      <c r="J69" s="102"/>
      <c r="K69" s="103"/>
    </row>
    <row r="70" spans="1:11">
      <c r="A70" s="82">
        <v>8</v>
      </c>
      <c r="B70" s="83" t="s">
        <v>21</v>
      </c>
      <c r="C70" s="84"/>
      <c r="D70" s="84"/>
      <c r="E70" s="84"/>
      <c r="F70" s="84"/>
      <c r="G70" s="84"/>
      <c r="H70" s="84"/>
      <c r="I70" s="84"/>
      <c r="J70" s="102"/>
      <c r="K70" s="103"/>
    </row>
    <row r="71" spans="1:11">
      <c r="A71" s="82">
        <v>9</v>
      </c>
      <c r="B71" s="83" t="s">
        <v>22</v>
      </c>
      <c r="C71" s="84"/>
      <c r="D71" s="84"/>
      <c r="E71" s="84"/>
      <c r="F71" s="84"/>
      <c r="G71" s="84"/>
      <c r="H71" s="84"/>
      <c r="I71" s="84"/>
      <c r="J71" s="102"/>
      <c r="K71" s="103"/>
    </row>
    <row r="72" spans="1:11">
      <c r="A72" s="82">
        <v>10</v>
      </c>
      <c r="B72" s="83" t="s">
        <v>23</v>
      </c>
      <c r="C72" s="84"/>
      <c r="D72" s="84"/>
      <c r="E72" s="84"/>
      <c r="F72" s="84"/>
      <c r="G72" s="84"/>
      <c r="H72" s="84"/>
      <c r="I72" s="84"/>
      <c r="J72" s="102"/>
      <c r="K72" s="103"/>
    </row>
    <row r="73" spans="1:11">
      <c r="A73" s="82">
        <v>11</v>
      </c>
      <c r="B73" s="83" t="s">
        <v>24</v>
      </c>
      <c r="C73" s="84"/>
      <c r="D73" s="84"/>
      <c r="E73" s="84"/>
      <c r="F73" s="84"/>
      <c r="G73" s="84"/>
      <c r="H73" s="84"/>
      <c r="I73" s="84"/>
      <c r="J73" s="102"/>
      <c r="K73" s="103"/>
    </row>
    <row r="74" ht="14.25" spans="1:11">
      <c r="A74" s="85">
        <v>12</v>
      </c>
      <c r="B74" s="86" t="s">
        <v>25</v>
      </c>
      <c r="C74" s="84"/>
      <c r="D74" s="84"/>
      <c r="E74" s="84"/>
      <c r="F74" s="84"/>
      <c r="G74" s="84"/>
      <c r="H74" s="84"/>
      <c r="I74" s="84"/>
      <c r="J74" s="102"/>
      <c r="K74" s="103"/>
    </row>
    <row r="75" ht="15" spans="1:11">
      <c r="A75" s="87" t="s">
        <v>26</v>
      </c>
      <c r="B75" s="88"/>
      <c r="C75" s="88">
        <f>SUM(C63:C74)</f>
        <v>20</v>
      </c>
      <c r="D75" s="88">
        <f>SUM(D63:D74)</f>
        <v>16840</v>
      </c>
      <c r="E75" s="88">
        <f t="shared" ref="E75:K75" si="6">SUM(E63:E74)</f>
        <v>6</v>
      </c>
      <c r="F75" s="88">
        <f t="shared" si="6"/>
        <v>26</v>
      </c>
      <c r="G75" s="88">
        <f t="shared" si="6"/>
        <v>3</v>
      </c>
      <c r="H75" s="88">
        <f t="shared" si="6"/>
        <v>12</v>
      </c>
      <c r="I75" s="88">
        <f t="shared" si="6"/>
        <v>144</v>
      </c>
      <c r="J75" s="89">
        <f t="shared" ref="J75" si="7">SUM(J63:J74)</f>
        <v>130</v>
      </c>
      <c r="K75" s="90">
        <f t="shared" si="6"/>
        <v>288</v>
      </c>
    </row>
    <row r="76" ht="15"/>
    <row r="77" ht="15" spans="1:11">
      <c r="A77" s="3" t="s">
        <v>30</v>
      </c>
      <c r="B77" s="4"/>
      <c r="C77" s="4"/>
      <c r="D77" s="4"/>
      <c r="E77" s="4"/>
      <c r="F77" s="4"/>
      <c r="G77" s="4"/>
      <c r="H77" s="4"/>
      <c r="I77" s="4"/>
      <c r="J77" s="4"/>
      <c r="K77" s="5"/>
    </row>
    <row r="78" ht="14.25" spans="1:11">
      <c r="A78" s="56" t="s">
        <v>4</v>
      </c>
      <c r="B78" s="57" t="s">
        <v>5</v>
      </c>
      <c r="C78" s="58" t="s">
        <v>34</v>
      </c>
      <c r="D78" s="58" t="s">
        <v>35</v>
      </c>
      <c r="E78" s="59" t="s">
        <v>50</v>
      </c>
      <c r="F78" s="60"/>
      <c r="G78" s="60"/>
      <c r="H78" s="60"/>
      <c r="I78" s="62" t="s">
        <v>38</v>
      </c>
      <c r="J78" s="63"/>
      <c r="K78" s="64"/>
    </row>
    <row r="79" spans="1:11">
      <c r="A79" s="65"/>
      <c r="B79" s="66"/>
      <c r="C79" s="66"/>
      <c r="D79" s="66"/>
      <c r="E79" s="67" t="s">
        <v>43</v>
      </c>
      <c r="F79" s="68"/>
      <c r="G79" s="67" t="s">
        <v>44</v>
      </c>
      <c r="H79" s="106"/>
      <c r="I79" s="69"/>
      <c r="J79" s="70"/>
      <c r="K79" s="71"/>
    </row>
    <row r="80" ht="14.25" spans="1:11">
      <c r="A80" s="72"/>
      <c r="B80" s="73"/>
      <c r="C80" s="74"/>
      <c r="D80" s="74"/>
      <c r="E80" s="74" t="s">
        <v>51</v>
      </c>
      <c r="F80" s="75" t="s">
        <v>48</v>
      </c>
      <c r="G80" s="74" t="s">
        <v>51</v>
      </c>
      <c r="H80" s="75" t="s">
        <v>48</v>
      </c>
      <c r="I80" s="74" t="s">
        <v>43</v>
      </c>
      <c r="J80" s="75" t="s">
        <v>44</v>
      </c>
      <c r="K80" s="76" t="s">
        <v>45</v>
      </c>
    </row>
    <row r="81" ht="14.25" spans="1:11">
      <c r="A81" s="77">
        <v>1</v>
      </c>
      <c r="B81" s="78" t="s">
        <v>14</v>
      </c>
      <c r="C81" s="79">
        <v>4</v>
      </c>
      <c r="D81" s="79">
        <v>3368</v>
      </c>
      <c r="E81" s="79">
        <v>1</v>
      </c>
      <c r="F81" s="79">
        <v>15</v>
      </c>
      <c r="G81" s="79">
        <v>1</v>
      </c>
      <c r="H81" s="79">
        <v>9</v>
      </c>
      <c r="I81" s="79">
        <v>69</v>
      </c>
      <c r="J81" s="80">
        <v>81</v>
      </c>
      <c r="K81" s="81">
        <v>0</v>
      </c>
    </row>
    <row r="82" spans="1:11">
      <c r="A82" s="82">
        <v>2</v>
      </c>
      <c r="B82" s="83" t="s">
        <v>15</v>
      </c>
      <c r="C82" s="84">
        <v>6</v>
      </c>
      <c r="D82" s="84">
        <v>5052</v>
      </c>
      <c r="E82" s="84">
        <v>1</v>
      </c>
      <c r="F82" s="84">
        <v>12</v>
      </c>
      <c r="G82" s="84">
        <v>1</v>
      </c>
      <c r="H82" s="84">
        <v>14</v>
      </c>
      <c r="I82" s="84">
        <v>136</v>
      </c>
      <c r="J82" s="102">
        <v>106</v>
      </c>
      <c r="K82" s="81">
        <v>0</v>
      </c>
    </row>
    <row r="83" spans="1:11">
      <c r="A83" s="82">
        <v>3</v>
      </c>
      <c r="B83" s="83" t="s">
        <v>16</v>
      </c>
      <c r="C83" s="79"/>
      <c r="D83" s="79"/>
      <c r="E83" s="84"/>
      <c r="F83" s="84"/>
      <c r="G83" s="84"/>
      <c r="H83" s="84"/>
      <c r="I83" s="84"/>
      <c r="J83" s="102"/>
      <c r="K83" s="81">
        <v>0</v>
      </c>
    </row>
    <row r="84" spans="1:11">
      <c r="A84" s="82">
        <v>4</v>
      </c>
      <c r="B84" s="83" t="s">
        <v>17</v>
      </c>
      <c r="C84" s="79"/>
      <c r="D84" s="79"/>
      <c r="E84" s="84"/>
      <c r="F84" s="84"/>
      <c r="G84" s="84"/>
      <c r="H84" s="84"/>
      <c r="I84" s="84"/>
      <c r="J84" s="102"/>
      <c r="K84" s="81">
        <v>0</v>
      </c>
    </row>
    <row r="85" spans="1:11">
      <c r="A85" s="82">
        <v>5</v>
      </c>
      <c r="B85" s="83" t="s">
        <v>18</v>
      </c>
      <c r="C85" s="79"/>
      <c r="D85" s="79"/>
      <c r="E85" s="84"/>
      <c r="F85" s="84"/>
      <c r="G85" s="84"/>
      <c r="H85" s="84"/>
      <c r="I85" s="84"/>
      <c r="J85" s="102"/>
      <c r="K85" s="81">
        <v>0</v>
      </c>
    </row>
    <row r="86" spans="1:11">
      <c r="A86" s="82">
        <v>6</v>
      </c>
      <c r="B86" s="83" t="s">
        <v>19</v>
      </c>
      <c r="C86" s="79"/>
      <c r="D86" s="79"/>
      <c r="E86" s="84"/>
      <c r="F86" s="84"/>
      <c r="G86" s="84"/>
      <c r="H86" s="84"/>
      <c r="I86" s="84"/>
      <c r="J86" s="102"/>
      <c r="K86" s="81">
        <v>0</v>
      </c>
    </row>
    <row r="87" spans="1:11">
      <c r="A87" s="82">
        <v>7</v>
      </c>
      <c r="B87" s="83" t="s">
        <v>20</v>
      </c>
      <c r="C87" s="79"/>
      <c r="D87" s="79"/>
      <c r="E87" s="84"/>
      <c r="F87" s="84"/>
      <c r="G87" s="84"/>
      <c r="H87" s="84"/>
      <c r="I87" s="84"/>
      <c r="J87" s="102"/>
      <c r="K87" s="81">
        <v>0</v>
      </c>
    </row>
    <row r="88" spans="1:11">
      <c r="A88" s="82">
        <v>8</v>
      </c>
      <c r="B88" s="83" t="s">
        <v>21</v>
      </c>
      <c r="C88" s="79"/>
      <c r="D88" s="79"/>
      <c r="E88" s="84"/>
      <c r="F88" s="84"/>
      <c r="G88" s="84"/>
      <c r="H88" s="84"/>
      <c r="I88" s="84"/>
      <c r="J88" s="102"/>
      <c r="K88" s="81">
        <v>0</v>
      </c>
    </row>
    <row r="89" spans="1:11">
      <c r="A89" s="82">
        <v>9</v>
      </c>
      <c r="B89" s="83" t="s">
        <v>22</v>
      </c>
      <c r="C89" s="84"/>
      <c r="D89" s="84"/>
      <c r="E89" s="84"/>
      <c r="F89" s="84"/>
      <c r="G89" s="84"/>
      <c r="H89" s="84"/>
      <c r="I89" s="84"/>
      <c r="J89" s="102"/>
      <c r="K89" s="81">
        <v>0</v>
      </c>
    </row>
    <row r="90" spans="1:11">
      <c r="A90" s="82">
        <v>10</v>
      </c>
      <c r="B90" s="83" t="s">
        <v>23</v>
      </c>
      <c r="C90" s="84"/>
      <c r="D90" s="84"/>
      <c r="E90" s="84"/>
      <c r="F90" s="84"/>
      <c r="G90" s="84"/>
      <c r="H90" s="84"/>
      <c r="I90" s="84"/>
      <c r="J90" s="102"/>
      <c r="K90" s="81">
        <v>0</v>
      </c>
    </row>
    <row r="91" spans="1:11">
      <c r="A91" s="82">
        <v>11</v>
      </c>
      <c r="B91" s="83" t="s">
        <v>24</v>
      </c>
      <c r="C91" s="79"/>
      <c r="D91" s="79"/>
      <c r="E91" s="84"/>
      <c r="F91" s="84"/>
      <c r="G91" s="84"/>
      <c r="H91" s="84"/>
      <c r="I91" s="84"/>
      <c r="J91" s="102"/>
      <c r="K91" s="81">
        <v>0</v>
      </c>
    </row>
    <row r="92" ht="14.25" spans="1:11">
      <c r="A92" s="85">
        <v>12</v>
      </c>
      <c r="B92" s="86" t="s">
        <v>25</v>
      </c>
      <c r="C92" s="79"/>
      <c r="D92" s="79"/>
      <c r="E92" s="84"/>
      <c r="F92" s="84"/>
      <c r="G92" s="84"/>
      <c r="H92" s="84"/>
      <c r="I92" s="84"/>
      <c r="J92" s="102"/>
      <c r="K92" s="103">
        <v>0</v>
      </c>
    </row>
    <row r="93" ht="15" spans="1:11">
      <c r="A93" s="87" t="s">
        <v>26</v>
      </c>
      <c r="B93" s="88"/>
      <c r="C93" s="88">
        <f>SUM(C81:C92)</f>
        <v>10</v>
      </c>
      <c r="D93" s="88">
        <f>SUM(D81:D92)</f>
        <v>8420</v>
      </c>
      <c r="E93" s="88">
        <f t="shared" ref="E93:K93" si="8">SUM(E81:E92)</f>
        <v>2</v>
      </c>
      <c r="F93" s="88">
        <f t="shared" si="8"/>
        <v>27</v>
      </c>
      <c r="G93" s="88">
        <f t="shared" si="8"/>
        <v>2</v>
      </c>
      <c r="H93" s="88">
        <f t="shared" si="8"/>
        <v>23</v>
      </c>
      <c r="I93" s="88">
        <f t="shared" si="8"/>
        <v>205</v>
      </c>
      <c r="J93" s="89">
        <f t="shared" ref="J93" si="9">SUM(J81:J92)</f>
        <v>187</v>
      </c>
      <c r="K93" s="90">
        <f t="shared" si="8"/>
        <v>0</v>
      </c>
    </row>
    <row r="94" ht="15"/>
    <row r="95" ht="15" spans="1:11">
      <c r="A95" s="3" t="s">
        <v>31</v>
      </c>
      <c r="B95" s="4"/>
      <c r="C95" s="4"/>
      <c r="D95" s="4"/>
      <c r="E95" s="4"/>
      <c r="F95" s="4"/>
      <c r="G95" s="4"/>
      <c r="H95" s="4"/>
      <c r="I95" s="4"/>
      <c r="J95" s="4"/>
      <c r="K95" s="5"/>
    </row>
    <row r="96" ht="14.25" spans="1:11">
      <c r="A96" s="56" t="s">
        <v>4</v>
      </c>
      <c r="B96" s="57" t="s">
        <v>5</v>
      </c>
      <c r="C96" s="58" t="s">
        <v>34</v>
      </c>
      <c r="D96" s="58" t="s">
        <v>35</v>
      </c>
      <c r="E96" s="59" t="s">
        <v>50</v>
      </c>
      <c r="F96" s="60"/>
      <c r="G96" s="60"/>
      <c r="H96" s="60"/>
      <c r="I96" s="62" t="s">
        <v>38</v>
      </c>
      <c r="J96" s="63"/>
      <c r="K96" s="64"/>
    </row>
    <row r="97" spans="1:11">
      <c r="A97" s="65"/>
      <c r="B97" s="66"/>
      <c r="C97" s="66"/>
      <c r="D97" s="66"/>
      <c r="E97" s="67" t="s">
        <v>43</v>
      </c>
      <c r="F97" s="68"/>
      <c r="G97" s="67" t="s">
        <v>44</v>
      </c>
      <c r="H97" s="106"/>
      <c r="I97" s="69"/>
      <c r="J97" s="70"/>
      <c r="K97" s="71"/>
    </row>
    <row r="98" ht="14.25" spans="1:11">
      <c r="A98" s="72"/>
      <c r="B98" s="73"/>
      <c r="C98" s="74"/>
      <c r="D98" s="74"/>
      <c r="E98" s="74" t="s">
        <v>51</v>
      </c>
      <c r="F98" s="75" t="s">
        <v>48</v>
      </c>
      <c r="G98" s="74" t="s">
        <v>51</v>
      </c>
      <c r="H98" s="75" t="s">
        <v>48</v>
      </c>
      <c r="I98" s="74" t="s">
        <v>43</v>
      </c>
      <c r="J98" s="75" t="s">
        <v>44</v>
      </c>
      <c r="K98" s="76" t="s">
        <v>45</v>
      </c>
    </row>
    <row r="99" ht="14.25" spans="1:11">
      <c r="A99" s="77">
        <v>1</v>
      </c>
      <c r="B99" s="78" t="s">
        <v>14</v>
      </c>
      <c r="C99" s="79">
        <v>7</v>
      </c>
      <c r="D99" s="79">
        <v>5894</v>
      </c>
      <c r="E99" s="79">
        <v>0</v>
      </c>
      <c r="F99" s="79">
        <v>0</v>
      </c>
      <c r="G99" s="79">
        <v>0</v>
      </c>
      <c r="H99" s="79">
        <v>0</v>
      </c>
      <c r="I99" s="79">
        <v>55</v>
      </c>
      <c r="J99" s="80">
        <v>44</v>
      </c>
      <c r="K99" s="81">
        <v>423</v>
      </c>
    </row>
    <row r="100" spans="1:11">
      <c r="A100" s="82">
        <v>2</v>
      </c>
      <c r="B100" s="83" t="s">
        <v>15</v>
      </c>
      <c r="C100" s="79">
        <v>13</v>
      </c>
      <c r="D100" s="79">
        <v>10946</v>
      </c>
      <c r="E100" s="84">
        <v>0</v>
      </c>
      <c r="F100" s="84">
        <v>0</v>
      </c>
      <c r="G100" s="84">
        <v>0</v>
      </c>
      <c r="H100" s="84">
        <v>0</v>
      </c>
      <c r="I100" s="84">
        <v>46</v>
      </c>
      <c r="J100" s="102">
        <v>44</v>
      </c>
      <c r="K100" s="103">
        <v>533</v>
      </c>
    </row>
    <row r="101" spans="1:11">
      <c r="A101" s="82">
        <v>3</v>
      </c>
      <c r="B101" s="83" t="s">
        <v>16</v>
      </c>
      <c r="C101" s="84"/>
      <c r="D101" s="84"/>
      <c r="E101" s="84"/>
      <c r="F101" s="84"/>
      <c r="G101" s="84"/>
      <c r="H101" s="84"/>
      <c r="I101" s="84"/>
      <c r="J101" s="102"/>
      <c r="K101" s="103"/>
    </row>
    <row r="102" spans="1:11">
      <c r="A102" s="82">
        <v>4</v>
      </c>
      <c r="B102" s="83" t="s">
        <v>17</v>
      </c>
      <c r="C102" s="84"/>
      <c r="D102" s="84"/>
      <c r="E102" s="84"/>
      <c r="F102" s="84"/>
      <c r="G102" s="84"/>
      <c r="H102" s="84"/>
      <c r="I102" s="84"/>
      <c r="J102" s="102"/>
      <c r="K102" s="103"/>
    </row>
    <row r="103" spans="1:11">
      <c r="A103" s="82">
        <v>5</v>
      </c>
      <c r="B103" s="83" t="s">
        <v>18</v>
      </c>
      <c r="C103" s="84"/>
      <c r="D103" s="84"/>
      <c r="E103" s="84"/>
      <c r="F103" s="84"/>
      <c r="G103" s="84"/>
      <c r="H103" s="84"/>
      <c r="I103" s="84"/>
      <c r="J103" s="102"/>
      <c r="K103" s="103"/>
    </row>
    <row r="104" spans="1:11">
      <c r="A104" s="82">
        <v>6</v>
      </c>
      <c r="B104" s="83" t="s">
        <v>19</v>
      </c>
      <c r="C104" s="84"/>
      <c r="D104" s="84"/>
      <c r="E104" s="84"/>
      <c r="F104" s="84"/>
      <c r="G104" s="84"/>
      <c r="H104" s="84"/>
      <c r="I104" s="84"/>
      <c r="J104" s="102"/>
      <c r="K104" s="103"/>
    </row>
    <row r="105" spans="1:11">
      <c r="A105" s="82">
        <v>7</v>
      </c>
      <c r="B105" s="83" t="s">
        <v>20</v>
      </c>
      <c r="C105" s="84"/>
      <c r="D105" s="84"/>
      <c r="E105" s="84"/>
      <c r="F105" s="84"/>
      <c r="G105" s="84"/>
      <c r="H105" s="84"/>
      <c r="I105" s="84"/>
      <c r="J105" s="102"/>
      <c r="K105" s="103"/>
    </row>
    <row r="106" spans="1:11">
      <c r="A106" s="82">
        <v>8</v>
      </c>
      <c r="B106" s="83" t="s">
        <v>21</v>
      </c>
      <c r="C106" s="84"/>
      <c r="D106" s="84"/>
      <c r="E106" s="84"/>
      <c r="F106" s="84"/>
      <c r="G106" s="84"/>
      <c r="H106" s="84"/>
      <c r="I106" s="84"/>
      <c r="J106" s="102"/>
      <c r="K106" s="103"/>
    </row>
    <row r="107" spans="1:11">
      <c r="A107" s="82">
        <v>9</v>
      </c>
      <c r="B107" s="83" t="s">
        <v>22</v>
      </c>
      <c r="C107" s="84"/>
      <c r="D107" s="84"/>
      <c r="E107" s="84"/>
      <c r="F107" s="84"/>
      <c r="G107" s="84"/>
      <c r="H107" s="84"/>
      <c r="I107" s="84"/>
      <c r="J107" s="102"/>
      <c r="K107" s="103"/>
    </row>
    <row r="108" spans="1:11">
      <c r="A108" s="82">
        <v>10</v>
      </c>
      <c r="B108" s="83" t="s">
        <v>23</v>
      </c>
      <c r="C108" s="84"/>
      <c r="D108" s="84"/>
      <c r="E108" s="84"/>
      <c r="F108" s="84"/>
      <c r="G108" s="84"/>
      <c r="H108" s="84"/>
      <c r="I108" s="84"/>
      <c r="J108" s="102"/>
      <c r="K108" s="103"/>
    </row>
    <row r="109" spans="1:11">
      <c r="A109" s="82">
        <v>11</v>
      </c>
      <c r="B109" s="83" t="s">
        <v>24</v>
      </c>
      <c r="C109" s="84"/>
      <c r="D109" s="84"/>
      <c r="E109" s="84"/>
      <c r="F109" s="84"/>
      <c r="G109" s="84"/>
      <c r="H109" s="84"/>
      <c r="I109" s="84"/>
      <c r="J109" s="102"/>
      <c r="K109" s="103"/>
    </row>
    <row r="110" ht="14.25" spans="1:11">
      <c r="A110" s="85">
        <v>12</v>
      </c>
      <c r="B110" s="86" t="s">
        <v>25</v>
      </c>
      <c r="C110" s="84"/>
      <c r="D110" s="84"/>
      <c r="E110" s="84"/>
      <c r="F110" s="84"/>
      <c r="G110" s="84"/>
      <c r="H110" s="84"/>
      <c r="I110" s="84"/>
      <c r="J110" s="102"/>
      <c r="K110" s="103"/>
    </row>
    <row r="111" ht="15" spans="1:11">
      <c r="A111" s="87" t="s">
        <v>26</v>
      </c>
      <c r="B111" s="88"/>
      <c r="C111" s="88">
        <f>SUM(C99:C110)</f>
        <v>20</v>
      </c>
      <c r="D111" s="88">
        <f>SUM(D99:D110)</f>
        <v>16840</v>
      </c>
      <c r="E111" s="88">
        <f t="shared" ref="E111:K111" si="10">SUM(E99:E110)</f>
        <v>0</v>
      </c>
      <c r="F111" s="88">
        <f t="shared" si="10"/>
        <v>0</v>
      </c>
      <c r="G111" s="88">
        <f t="shared" si="10"/>
        <v>0</v>
      </c>
      <c r="H111" s="88">
        <f t="shared" si="10"/>
        <v>0</v>
      </c>
      <c r="I111" s="88">
        <f t="shared" si="10"/>
        <v>101</v>
      </c>
      <c r="J111" s="89">
        <f t="shared" ref="J111" si="11">SUM(J99:J110)</f>
        <v>88</v>
      </c>
      <c r="K111" s="90">
        <f t="shared" si="10"/>
        <v>956</v>
      </c>
    </row>
    <row r="112" ht="15" spans="1:11">
      <c r="K112" s="108"/>
    </row>
    <row r="113" ht="15" spans="1:11">
      <c r="A113" s="92" t="s">
        <v>46</v>
      </c>
      <c r="B113" s="93"/>
      <c r="C113" s="93">
        <f>SUM(C21,C39,C57,C75,C93,C111)</f>
        <v>108</v>
      </c>
      <c r="D113" s="93">
        <f t="shared" ref="D113:K113" si="12">SUM(D21,D39,D57,D75,D93,D111)</f>
        <v>85860</v>
      </c>
      <c r="E113" s="93">
        <f t="shared" si="12"/>
        <v>54</v>
      </c>
      <c r="F113" s="93">
        <f t="shared" si="12"/>
        <v>415</v>
      </c>
      <c r="G113" s="93">
        <f t="shared" si="12"/>
        <v>46</v>
      </c>
      <c r="H113" s="93">
        <f t="shared" si="12"/>
        <v>270</v>
      </c>
      <c r="I113" s="93">
        <f t="shared" si="12"/>
        <v>2113</v>
      </c>
      <c r="J113" s="94">
        <f t="shared" si="12"/>
        <v>1331</v>
      </c>
      <c r="K113" s="95">
        <f t="shared" si="12"/>
        <v>3018</v>
      </c>
    </row>
    <row r="114" ht="14.25"/>
  </sheetData>
  <mergeCells count="65">
    <mergeCell ref="A1:K1"/>
    <mergeCell ref="A2:K2"/>
    <mergeCell ref="A3:K3"/>
    <mergeCell ref="A5:K5"/>
    <mergeCell ref="E6:H6"/>
    <mergeCell ref="E7:F7"/>
    <mergeCell ref="G7:H7"/>
    <mergeCell ref="A21:B21"/>
    <mergeCell ref="A22:K22"/>
    <mergeCell ref="A23:K23"/>
    <mergeCell ref="E24:H24"/>
    <mergeCell ref="E25:F25"/>
    <mergeCell ref="G25:H25"/>
    <mergeCell ref="A39:B39"/>
    <mergeCell ref="A41:K41"/>
    <mergeCell ref="E42:H42"/>
    <mergeCell ref="E43:F43"/>
    <mergeCell ref="G43:H43"/>
    <mergeCell ref="A57:B57"/>
    <mergeCell ref="A59:K59"/>
    <mergeCell ref="E60:H60"/>
    <mergeCell ref="E61:F61"/>
    <mergeCell ref="G61:H61"/>
    <mergeCell ref="A75:B75"/>
    <mergeCell ref="A77:K77"/>
    <mergeCell ref="E78:H78"/>
    <mergeCell ref="E79:F79"/>
    <mergeCell ref="G79:H79"/>
    <mergeCell ref="A93:B93"/>
    <mergeCell ref="A95:K95"/>
    <mergeCell ref="E96:H96"/>
    <mergeCell ref="E97:F97"/>
    <mergeCell ref="G97:H97"/>
    <mergeCell ref="A111:B111"/>
    <mergeCell ref="A113:B113"/>
    <mergeCell ref="A6:A8"/>
    <mergeCell ref="A24:A26"/>
    <mergeCell ref="A42:A44"/>
    <mergeCell ref="A60:A62"/>
    <mergeCell ref="A78:A80"/>
    <mergeCell ref="A96:A98"/>
    <mergeCell ref="B6:B8"/>
    <mergeCell ref="B24:B26"/>
    <mergeCell ref="B42:B44"/>
    <mergeCell ref="B60:B62"/>
    <mergeCell ref="B78:B80"/>
    <mergeCell ref="B96:B98"/>
    <mergeCell ref="C6:C8"/>
    <mergeCell ref="C24:C26"/>
    <mergeCell ref="C42:C44"/>
    <mergeCell ref="C60:C62"/>
    <mergeCell ref="C78:C80"/>
    <mergeCell ref="C96:C98"/>
    <mergeCell ref="D6:D8"/>
    <mergeCell ref="D24:D26"/>
    <mergeCell ref="D42:D44"/>
    <mergeCell ref="D60:D62"/>
    <mergeCell ref="D78:D80"/>
    <mergeCell ref="D96:D98"/>
    <mergeCell ref="I96:K97"/>
    <mergeCell ref="I78:K79"/>
    <mergeCell ref="I60:K61"/>
    <mergeCell ref="I42:K43"/>
    <mergeCell ref="I24:K25"/>
    <mergeCell ref="I6:K7"/>
  </mergeCells>
  <printOptions horizontalCentered="1"/>
  <pageMargins left="0.5" right="0.25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114"/>
  <sheetViews>
    <sheetView showWhiteSpace="0" topLeftCell="B54" workbookViewId="0">
      <selection activeCell="F100" sqref="F100"/>
    </sheetView>
  </sheetViews>
  <sheetFormatPr defaultColWidth="9" defaultRowHeight="13.5"/>
  <cols>
    <col min="1" max="1" width="6.88571428571429" style="1" customWidth="1"/>
    <col min="2" max="2" width="24" style="1" customWidth="1"/>
    <col min="3" max="11" width="17.4380952380952" style="1" customWidth="1"/>
    <col min="12" max="16384" width="9" style="1"/>
  </cols>
  <sheetData>
    <row r="1" ht="14.25" spans="1:11">
      <c r="A1" s="55" t="s">
        <v>52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ht="14.25" spans="1:1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ht="14.25" spans="1:1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ht="15" spans="1:1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</row>
    <row r="5" ht="15" spans="1:11">
      <c r="A5" s="96" t="s">
        <v>3</v>
      </c>
      <c r="B5" s="97"/>
      <c r="C5" s="97"/>
      <c r="D5" s="97"/>
      <c r="E5" s="97"/>
      <c r="F5" s="97"/>
      <c r="G5" s="97"/>
      <c r="H5" s="97"/>
      <c r="I5" s="97"/>
      <c r="J5" s="97"/>
      <c r="K5" s="98"/>
    </row>
    <row r="6" ht="17.25" customHeight="1" spans="1:11">
      <c r="A6" s="56" t="s">
        <v>4</v>
      </c>
      <c r="B6" s="57" t="s">
        <v>5</v>
      </c>
      <c r="C6" s="58" t="s">
        <v>34</v>
      </c>
      <c r="D6" s="58" t="s">
        <v>35</v>
      </c>
      <c r="E6" s="59" t="s">
        <v>36</v>
      </c>
      <c r="F6" s="60"/>
      <c r="G6" s="60"/>
      <c r="H6" s="61"/>
      <c r="I6" s="62" t="s">
        <v>38</v>
      </c>
      <c r="J6" s="63"/>
      <c r="K6" s="64"/>
    </row>
    <row r="7" ht="17.25" customHeight="1" spans="1:11">
      <c r="A7" s="65"/>
      <c r="B7" s="66"/>
      <c r="C7" s="66"/>
      <c r="D7" s="66"/>
      <c r="E7" s="67" t="s">
        <v>39</v>
      </c>
      <c r="F7" s="68"/>
      <c r="G7" s="67" t="s">
        <v>40</v>
      </c>
      <c r="H7" s="68"/>
      <c r="I7" s="69"/>
      <c r="J7" s="70"/>
      <c r="K7" s="71"/>
    </row>
    <row r="8" ht="17.25" customHeight="1" spans="1:11">
      <c r="A8" s="72"/>
      <c r="B8" s="73"/>
      <c r="C8" s="74"/>
      <c r="D8" s="74"/>
      <c r="E8" s="75" t="s">
        <v>41</v>
      </c>
      <c r="F8" s="73" t="s">
        <v>42</v>
      </c>
      <c r="G8" s="75" t="s">
        <v>41</v>
      </c>
      <c r="H8" s="73" t="s">
        <v>42</v>
      </c>
      <c r="I8" s="74" t="s">
        <v>43</v>
      </c>
      <c r="J8" s="75" t="s">
        <v>44</v>
      </c>
      <c r="K8" s="76" t="s">
        <v>45</v>
      </c>
    </row>
    <row r="9" ht="14.25" spans="1:11">
      <c r="A9" s="77">
        <v>1</v>
      </c>
      <c r="B9" s="78" t="s">
        <v>14</v>
      </c>
      <c r="C9" s="79">
        <v>3</v>
      </c>
      <c r="D9" s="99">
        <v>1939</v>
      </c>
      <c r="E9" s="99">
        <v>0</v>
      </c>
      <c r="F9" s="99">
        <v>0</v>
      </c>
      <c r="G9" s="99">
        <v>0</v>
      </c>
      <c r="H9" s="99">
        <v>0</v>
      </c>
      <c r="I9" s="99">
        <v>0</v>
      </c>
      <c r="J9" s="100">
        <v>0</v>
      </c>
      <c r="K9" s="101">
        <v>0</v>
      </c>
    </row>
    <row r="10" spans="1:11">
      <c r="A10" s="82">
        <v>2</v>
      </c>
      <c r="B10" s="83" t="s">
        <v>15</v>
      </c>
      <c r="C10" s="84">
        <v>1</v>
      </c>
      <c r="D10" s="84">
        <v>643</v>
      </c>
      <c r="E10" s="84">
        <v>0</v>
      </c>
      <c r="F10" s="84">
        <v>0</v>
      </c>
      <c r="G10" s="84">
        <v>0</v>
      </c>
      <c r="H10" s="84">
        <v>0</v>
      </c>
      <c r="I10" s="84">
        <v>0</v>
      </c>
      <c r="J10" s="102">
        <v>0</v>
      </c>
      <c r="K10" s="103">
        <v>0</v>
      </c>
    </row>
    <row r="11" spans="1:11">
      <c r="A11" s="82">
        <v>3</v>
      </c>
      <c r="B11" s="83" t="s">
        <v>16</v>
      </c>
      <c r="C11" s="84"/>
      <c r="D11" s="84"/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102">
        <v>0</v>
      </c>
      <c r="K11" s="103">
        <v>0</v>
      </c>
    </row>
    <row r="12" spans="1:11">
      <c r="A12" s="82">
        <v>4</v>
      </c>
      <c r="B12" s="83" t="s">
        <v>17</v>
      </c>
      <c r="C12" s="84"/>
      <c r="D12" s="84"/>
      <c r="E12" s="84">
        <v>0</v>
      </c>
      <c r="F12" s="84">
        <v>0</v>
      </c>
      <c r="G12" s="84">
        <v>0</v>
      </c>
      <c r="H12" s="84">
        <v>0</v>
      </c>
      <c r="I12" s="84">
        <v>0</v>
      </c>
      <c r="J12" s="102">
        <v>0</v>
      </c>
      <c r="K12" s="103">
        <v>0</v>
      </c>
    </row>
    <row r="13" spans="1:11">
      <c r="A13" s="82">
        <v>5</v>
      </c>
      <c r="B13" s="83" t="s">
        <v>18</v>
      </c>
      <c r="C13" s="84"/>
      <c r="D13" s="84"/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102">
        <v>0</v>
      </c>
      <c r="K13" s="103">
        <v>0</v>
      </c>
    </row>
    <row r="14" spans="1:11">
      <c r="A14" s="82">
        <v>6</v>
      </c>
      <c r="B14" s="83" t="s">
        <v>19</v>
      </c>
      <c r="C14" s="84"/>
      <c r="D14" s="84"/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102">
        <v>0</v>
      </c>
      <c r="K14" s="103">
        <v>0</v>
      </c>
    </row>
    <row r="15" spans="1:11">
      <c r="A15" s="82">
        <v>7</v>
      </c>
      <c r="B15" s="83" t="s">
        <v>20</v>
      </c>
      <c r="C15" s="84"/>
      <c r="D15" s="84"/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102">
        <v>0</v>
      </c>
      <c r="K15" s="103">
        <v>0</v>
      </c>
    </row>
    <row r="16" spans="1:11">
      <c r="A16" s="82">
        <v>8</v>
      </c>
      <c r="B16" s="83" t="s">
        <v>21</v>
      </c>
      <c r="C16" s="84"/>
      <c r="D16" s="84"/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102">
        <v>0</v>
      </c>
      <c r="K16" s="103">
        <v>0</v>
      </c>
    </row>
    <row r="17" spans="1:12">
      <c r="A17" s="82">
        <v>9</v>
      </c>
      <c r="B17" s="83" t="s">
        <v>22</v>
      </c>
      <c r="C17" s="84"/>
      <c r="D17" s="84"/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102">
        <v>0</v>
      </c>
      <c r="K17" s="103">
        <v>0</v>
      </c>
    </row>
    <row r="18" spans="1:12">
      <c r="A18" s="82">
        <v>10</v>
      </c>
      <c r="B18" s="83" t="s">
        <v>23</v>
      </c>
      <c r="C18" s="84"/>
      <c r="D18" s="84"/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102">
        <v>0</v>
      </c>
      <c r="K18" s="103">
        <v>0</v>
      </c>
    </row>
    <row r="19" spans="1:12">
      <c r="A19" s="82">
        <v>11</v>
      </c>
      <c r="B19" s="83" t="s">
        <v>24</v>
      </c>
      <c r="C19" s="84"/>
      <c r="D19" s="84"/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102">
        <v>0</v>
      </c>
      <c r="K19" s="103">
        <v>0</v>
      </c>
    </row>
    <row r="20" ht="14.25" spans="1:12">
      <c r="A20" s="85">
        <v>12</v>
      </c>
      <c r="B20" s="86" t="s">
        <v>25</v>
      </c>
      <c r="C20" s="84"/>
      <c r="D20" s="84"/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102">
        <v>0</v>
      </c>
      <c r="K20" s="103">
        <v>0</v>
      </c>
    </row>
    <row r="21" ht="17.25" customHeight="1" spans="1:12">
      <c r="A21" s="87" t="s">
        <v>26</v>
      </c>
      <c r="B21" s="88"/>
      <c r="C21" s="88">
        <f t="shared" ref="C21:K21" si="0">SUM(C9:C20)</f>
        <v>4</v>
      </c>
      <c r="D21" s="88">
        <f t="shared" si="0"/>
        <v>2582</v>
      </c>
      <c r="E21" s="88">
        <f t="shared" si="0"/>
        <v>0</v>
      </c>
      <c r="F21" s="88">
        <f t="shared" si="0"/>
        <v>0</v>
      </c>
      <c r="G21" s="88">
        <f t="shared" si="0"/>
        <v>0</v>
      </c>
      <c r="H21" s="88">
        <f t="shared" si="0"/>
        <v>0</v>
      </c>
      <c r="I21" s="88">
        <f t="shared" si="0"/>
        <v>0</v>
      </c>
      <c r="J21" s="89">
        <f t="shared" ref="J21" si="1">SUM(J9:J20)</f>
        <v>0</v>
      </c>
      <c r="K21" s="88">
        <f t="shared" si="0"/>
        <v>0</v>
      </c>
    </row>
    <row r="22" ht="15" spans="1:1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15" spans="1:12">
      <c r="A23" s="96" t="s">
        <v>27</v>
      </c>
      <c r="B23" s="97"/>
      <c r="C23" s="97"/>
      <c r="D23" s="97"/>
      <c r="E23" s="97"/>
      <c r="F23" s="97"/>
      <c r="G23" s="97"/>
      <c r="H23" s="97"/>
      <c r="I23" s="97"/>
      <c r="J23" s="97"/>
      <c r="K23" s="98"/>
    </row>
    <row r="24" ht="14.25" spans="1:12">
      <c r="A24" s="56" t="s">
        <v>4</v>
      </c>
      <c r="B24" s="57" t="s">
        <v>5</v>
      </c>
      <c r="C24" s="58" t="s">
        <v>34</v>
      </c>
      <c r="D24" s="58" t="s">
        <v>35</v>
      </c>
      <c r="E24" s="59" t="s">
        <v>36</v>
      </c>
      <c r="F24" s="60"/>
      <c r="G24" s="60"/>
      <c r="H24" s="61"/>
      <c r="I24" s="62" t="s">
        <v>38</v>
      </c>
      <c r="J24" s="63"/>
      <c r="K24" s="64"/>
    </row>
    <row r="25" spans="1:12">
      <c r="A25" s="65"/>
      <c r="B25" s="66"/>
      <c r="C25" s="66"/>
      <c r="D25" s="66"/>
      <c r="E25" s="67" t="s">
        <v>39</v>
      </c>
      <c r="F25" s="68"/>
      <c r="G25" s="67" t="s">
        <v>40</v>
      </c>
      <c r="H25" s="68"/>
      <c r="I25" s="69"/>
      <c r="J25" s="70"/>
      <c r="K25" s="71"/>
    </row>
    <row r="26" ht="14.25" spans="1:12">
      <c r="A26" s="72"/>
      <c r="B26" s="73"/>
      <c r="C26" s="74"/>
      <c r="D26" s="74"/>
      <c r="E26" s="75" t="s">
        <v>41</v>
      </c>
      <c r="F26" s="73" t="s">
        <v>42</v>
      </c>
      <c r="G26" s="75" t="s">
        <v>41</v>
      </c>
      <c r="H26" s="73" t="s">
        <v>42</v>
      </c>
      <c r="I26" s="74" t="s">
        <v>43</v>
      </c>
      <c r="J26" s="75" t="s">
        <v>44</v>
      </c>
      <c r="K26" s="76" t="s">
        <v>45</v>
      </c>
    </row>
    <row r="27" ht="14.25" spans="1:12">
      <c r="A27" s="77">
        <v>1</v>
      </c>
      <c r="B27" s="78" t="s">
        <v>14</v>
      </c>
      <c r="C27" s="7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100">
        <v>0</v>
      </c>
      <c r="K27" s="101">
        <v>0</v>
      </c>
    </row>
    <row r="28" spans="1:12">
      <c r="A28" s="82">
        <v>2</v>
      </c>
      <c r="B28" s="83" t="s">
        <v>15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4">
        <v>0</v>
      </c>
      <c r="J28" s="102">
        <v>0</v>
      </c>
      <c r="K28" s="103">
        <v>0</v>
      </c>
    </row>
    <row r="29" spans="1:12">
      <c r="A29" s="82">
        <v>3</v>
      </c>
      <c r="B29" s="83" t="s">
        <v>16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102">
        <v>0</v>
      </c>
      <c r="K29" s="103">
        <v>0</v>
      </c>
      <c r="L29" s="104"/>
    </row>
    <row r="30" spans="1:12">
      <c r="A30" s="82">
        <v>4</v>
      </c>
      <c r="B30" s="83" t="s">
        <v>17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102">
        <v>0</v>
      </c>
      <c r="K30" s="103">
        <v>0</v>
      </c>
    </row>
    <row r="31" spans="1:12">
      <c r="A31" s="82">
        <v>5</v>
      </c>
      <c r="B31" s="83" t="s">
        <v>18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102">
        <v>0</v>
      </c>
      <c r="K31" s="103">
        <v>0</v>
      </c>
    </row>
    <row r="32" spans="1:12">
      <c r="A32" s="82">
        <v>6</v>
      </c>
      <c r="B32" s="83" t="s">
        <v>19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102">
        <v>0</v>
      </c>
      <c r="K32" s="103">
        <v>0</v>
      </c>
    </row>
    <row r="33" spans="1:11">
      <c r="A33" s="82">
        <v>7</v>
      </c>
      <c r="B33" s="83" t="s">
        <v>20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102">
        <v>0</v>
      </c>
      <c r="K33" s="103">
        <v>0</v>
      </c>
    </row>
    <row r="34" spans="1:11">
      <c r="A34" s="82">
        <v>8</v>
      </c>
      <c r="B34" s="83" t="s">
        <v>21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102">
        <v>0</v>
      </c>
      <c r="K34" s="103">
        <v>0</v>
      </c>
    </row>
    <row r="35" spans="1:11">
      <c r="A35" s="82">
        <v>9</v>
      </c>
      <c r="B35" s="83" t="s">
        <v>22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102">
        <v>0</v>
      </c>
      <c r="K35" s="103">
        <v>0</v>
      </c>
    </row>
    <row r="36" spans="1:11">
      <c r="A36" s="82">
        <v>10</v>
      </c>
      <c r="B36" s="83" t="s">
        <v>23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102">
        <v>0</v>
      </c>
      <c r="K36" s="103">
        <v>0</v>
      </c>
    </row>
    <row r="37" spans="1:11">
      <c r="A37" s="82">
        <v>11</v>
      </c>
      <c r="B37" s="83" t="s">
        <v>24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102">
        <v>0</v>
      </c>
      <c r="K37" s="103">
        <v>0</v>
      </c>
    </row>
    <row r="38" ht="14.25" spans="1:11">
      <c r="A38" s="85">
        <v>12</v>
      </c>
      <c r="B38" s="86" t="s">
        <v>25</v>
      </c>
      <c r="C38" s="84">
        <v>0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4">
        <v>0</v>
      </c>
      <c r="J38" s="102">
        <v>0</v>
      </c>
      <c r="K38" s="103">
        <v>0</v>
      </c>
    </row>
    <row r="39" ht="15" spans="1:11">
      <c r="A39" s="87" t="s">
        <v>26</v>
      </c>
      <c r="B39" s="88"/>
      <c r="C39" s="88">
        <f t="shared" ref="C39:K39" si="2">SUM(C27:C38)</f>
        <v>0</v>
      </c>
      <c r="D39" s="88">
        <f t="shared" si="2"/>
        <v>0</v>
      </c>
      <c r="E39" s="88">
        <f t="shared" si="2"/>
        <v>0</v>
      </c>
      <c r="F39" s="88">
        <f t="shared" si="2"/>
        <v>0</v>
      </c>
      <c r="G39" s="88">
        <f t="shared" si="2"/>
        <v>0</v>
      </c>
      <c r="H39" s="88">
        <f t="shared" si="2"/>
        <v>0</v>
      </c>
      <c r="I39" s="88">
        <f t="shared" si="2"/>
        <v>0</v>
      </c>
      <c r="J39" s="89">
        <f t="shared" ref="J39" si="3">SUM(J27:J38)</f>
        <v>0</v>
      </c>
      <c r="K39" s="88">
        <f t="shared" si="2"/>
        <v>0</v>
      </c>
    </row>
    <row r="40" ht="15"/>
    <row r="41" ht="15" spans="1:11">
      <c r="A41" s="96" t="s">
        <v>28</v>
      </c>
      <c r="B41" s="97"/>
      <c r="C41" s="97"/>
      <c r="D41" s="97"/>
      <c r="E41" s="97"/>
      <c r="F41" s="97"/>
      <c r="G41" s="97"/>
      <c r="H41" s="97"/>
      <c r="I41" s="97"/>
      <c r="J41" s="97"/>
      <c r="K41" s="98"/>
    </row>
    <row r="42" ht="14.25" spans="1:11">
      <c r="A42" s="56" t="s">
        <v>4</v>
      </c>
      <c r="B42" s="57" t="s">
        <v>5</v>
      </c>
      <c r="C42" s="58" t="s">
        <v>34</v>
      </c>
      <c r="D42" s="58" t="s">
        <v>35</v>
      </c>
      <c r="E42" s="59" t="s">
        <v>36</v>
      </c>
      <c r="F42" s="60"/>
      <c r="G42" s="60"/>
      <c r="H42" s="61"/>
      <c r="I42" s="62" t="s">
        <v>38</v>
      </c>
      <c r="J42" s="63"/>
      <c r="K42" s="64"/>
    </row>
    <row r="43" spans="1:11">
      <c r="A43" s="65"/>
      <c r="B43" s="66"/>
      <c r="C43" s="66"/>
      <c r="D43" s="66"/>
      <c r="E43" s="67" t="s">
        <v>39</v>
      </c>
      <c r="F43" s="68"/>
      <c r="G43" s="67" t="s">
        <v>40</v>
      </c>
      <c r="H43" s="68"/>
      <c r="I43" s="69"/>
      <c r="J43" s="70"/>
      <c r="K43" s="71"/>
    </row>
    <row r="44" ht="14.25" spans="1:11">
      <c r="A44" s="72"/>
      <c r="B44" s="73"/>
      <c r="C44" s="74"/>
      <c r="D44" s="74"/>
      <c r="E44" s="75" t="s">
        <v>41</v>
      </c>
      <c r="F44" s="73" t="s">
        <v>42</v>
      </c>
      <c r="G44" s="75" t="s">
        <v>41</v>
      </c>
      <c r="H44" s="73" t="s">
        <v>42</v>
      </c>
      <c r="I44" s="74" t="s">
        <v>43</v>
      </c>
      <c r="J44" s="75" t="s">
        <v>44</v>
      </c>
      <c r="K44" s="76" t="s">
        <v>45</v>
      </c>
    </row>
    <row r="45" ht="14.25" spans="1:11">
      <c r="A45" s="77">
        <v>1</v>
      </c>
      <c r="B45" s="78" t="s">
        <v>14</v>
      </c>
      <c r="C45" s="7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100">
        <v>0</v>
      </c>
      <c r="K45" s="101">
        <v>0</v>
      </c>
    </row>
    <row r="46" spans="1:11">
      <c r="A46" s="82">
        <v>2</v>
      </c>
      <c r="B46" s="83" t="s">
        <v>15</v>
      </c>
      <c r="C46" s="84">
        <v>0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102">
        <v>0</v>
      </c>
      <c r="K46" s="103">
        <v>0</v>
      </c>
    </row>
    <row r="47" spans="1:11">
      <c r="A47" s="82">
        <v>3</v>
      </c>
      <c r="B47" s="83" t="s">
        <v>16</v>
      </c>
      <c r="C47" s="84">
        <v>0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102">
        <v>0</v>
      </c>
      <c r="K47" s="103">
        <v>0</v>
      </c>
    </row>
    <row r="48" spans="1:11">
      <c r="A48" s="82">
        <v>4</v>
      </c>
      <c r="B48" s="83" t="s">
        <v>17</v>
      </c>
      <c r="C48" s="84">
        <v>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102">
        <v>0</v>
      </c>
      <c r="K48" s="103">
        <v>0</v>
      </c>
    </row>
    <row r="49" spans="1:11">
      <c r="A49" s="82">
        <v>5</v>
      </c>
      <c r="B49" s="83" t="s">
        <v>18</v>
      </c>
      <c r="C49" s="84">
        <v>0</v>
      </c>
      <c r="D49" s="84">
        <v>0</v>
      </c>
      <c r="E49" s="84">
        <v>0</v>
      </c>
      <c r="F49" s="84">
        <v>0</v>
      </c>
      <c r="G49" s="84">
        <v>0</v>
      </c>
      <c r="H49" s="84">
        <v>0</v>
      </c>
      <c r="I49" s="84">
        <v>0</v>
      </c>
      <c r="J49" s="102">
        <v>0</v>
      </c>
      <c r="K49" s="103">
        <v>0</v>
      </c>
    </row>
    <row r="50" spans="1:11">
      <c r="A50" s="82">
        <v>6</v>
      </c>
      <c r="B50" s="83" t="s">
        <v>19</v>
      </c>
      <c r="C50" s="84">
        <v>0</v>
      </c>
      <c r="D50" s="84">
        <v>0</v>
      </c>
      <c r="E50" s="84">
        <v>0</v>
      </c>
      <c r="F50" s="84">
        <v>0</v>
      </c>
      <c r="G50" s="84">
        <v>0</v>
      </c>
      <c r="H50" s="84">
        <v>0</v>
      </c>
      <c r="I50" s="84">
        <v>0</v>
      </c>
      <c r="J50" s="102">
        <v>0</v>
      </c>
      <c r="K50" s="103">
        <v>0</v>
      </c>
    </row>
    <row r="51" spans="1:11">
      <c r="A51" s="82">
        <v>7</v>
      </c>
      <c r="B51" s="83" t="s">
        <v>20</v>
      </c>
      <c r="C51" s="84">
        <v>0</v>
      </c>
      <c r="D51" s="84">
        <v>0</v>
      </c>
      <c r="E51" s="84">
        <v>0</v>
      </c>
      <c r="F51" s="84">
        <v>0</v>
      </c>
      <c r="G51" s="84">
        <v>0</v>
      </c>
      <c r="H51" s="84">
        <v>0</v>
      </c>
      <c r="I51" s="84">
        <v>0</v>
      </c>
      <c r="J51" s="102">
        <v>0</v>
      </c>
      <c r="K51" s="103">
        <v>0</v>
      </c>
    </row>
    <row r="52" spans="1:11">
      <c r="A52" s="82">
        <v>8</v>
      </c>
      <c r="B52" s="83" t="s">
        <v>21</v>
      </c>
      <c r="C52" s="84">
        <v>0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102">
        <v>0</v>
      </c>
      <c r="K52" s="103">
        <v>0</v>
      </c>
    </row>
    <row r="53" spans="1:11">
      <c r="A53" s="82">
        <v>9</v>
      </c>
      <c r="B53" s="83" t="s">
        <v>22</v>
      </c>
      <c r="C53" s="84">
        <v>0</v>
      </c>
      <c r="D53" s="84">
        <v>0</v>
      </c>
      <c r="E53" s="84">
        <v>0</v>
      </c>
      <c r="F53" s="84">
        <v>0</v>
      </c>
      <c r="G53" s="84">
        <v>0</v>
      </c>
      <c r="H53" s="84">
        <v>0</v>
      </c>
      <c r="I53" s="84">
        <v>0</v>
      </c>
      <c r="J53" s="102">
        <v>0</v>
      </c>
      <c r="K53" s="103">
        <v>0</v>
      </c>
    </row>
    <row r="54" spans="1:11">
      <c r="A54" s="82">
        <v>10</v>
      </c>
      <c r="B54" s="83" t="s">
        <v>23</v>
      </c>
      <c r="C54" s="84">
        <v>0</v>
      </c>
      <c r="D54" s="84">
        <v>0</v>
      </c>
      <c r="E54" s="84">
        <v>0</v>
      </c>
      <c r="F54" s="84">
        <v>0</v>
      </c>
      <c r="G54" s="84">
        <v>0</v>
      </c>
      <c r="H54" s="84">
        <v>0</v>
      </c>
      <c r="I54" s="84">
        <v>0</v>
      </c>
      <c r="J54" s="102">
        <v>0</v>
      </c>
      <c r="K54" s="103">
        <v>0</v>
      </c>
    </row>
    <row r="55" spans="1:11">
      <c r="A55" s="82">
        <v>11</v>
      </c>
      <c r="B55" s="83" t="s">
        <v>24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102">
        <v>0</v>
      </c>
      <c r="K55" s="103">
        <v>0</v>
      </c>
    </row>
    <row r="56" ht="14.25" spans="1:11">
      <c r="A56" s="85">
        <v>12</v>
      </c>
      <c r="B56" s="86" t="s">
        <v>25</v>
      </c>
      <c r="C56" s="84">
        <v>0</v>
      </c>
      <c r="D56" s="84">
        <v>0</v>
      </c>
      <c r="E56" s="84">
        <v>0</v>
      </c>
      <c r="F56" s="84">
        <v>0</v>
      </c>
      <c r="G56" s="84">
        <v>0</v>
      </c>
      <c r="H56" s="84">
        <v>0</v>
      </c>
      <c r="I56" s="84">
        <v>0</v>
      </c>
      <c r="J56" s="102">
        <v>0</v>
      </c>
      <c r="K56" s="103">
        <v>0</v>
      </c>
    </row>
    <row r="57" ht="15" spans="1:11">
      <c r="A57" s="87" t="s">
        <v>26</v>
      </c>
      <c r="B57" s="88"/>
      <c r="C57" s="88">
        <f t="shared" ref="C57:K57" si="4">SUM(C45:C56)</f>
        <v>0</v>
      </c>
      <c r="D57" s="88">
        <f t="shared" si="4"/>
        <v>0</v>
      </c>
      <c r="E57" s="88">
        <f t="shared" si="4"/>
        <v>0</v>
      </c>
      <c r="F57" s="88">
        <f t="shared" si="4"/>
        <v>0</v>
      </c>
      <c r="G57" s="88">
        <f t="shared" si="4"/>
        <v>0</v>
      </c>
      <c r="H57" s="88">
        <f t="shared" si="4"/>
        <v>0</v>
      </c>
      <c r="I57" s="88">
        <f t="shared" si="4"/>
        <v>0</v>
      </c>
      <c r="J57" s="89">
        <f t="shared" ref="J57" si="5">SUM(J45:J56)</f>
        <v>0</v>
      </c>
      <c r="K57" s="88">
        <f t="shared" si="4"/>
        <v>0</v>
      </c>
    </row>
    <row r="58" ht="15"/>
    <row r="59" ht="15" spans="1:11">
      <c r="A59" s="96" t="s">
        <v>29</v>
      </c>
      <c r="B59" s="97"/>
      <c r="C59" s="97"/>
      <c r="D59" s="97"/>
      <c r="E59" s="97"/>
      <c r="F59" s="97"/>
      <c r="G59" s="97"/>
      <c r="H59" s="97"/>
      <c r="I59" s="97"/>
      <c r="J59" s="97"/>
      <c r="K59" s="98"/>
    </row>
    <row r="60" ht="14.25" spans="1:11">
      <c r="A60" s="56" t="s">
        <v>4</v>
      </c>
      <c r="B60" s="57" t="s">
        <v>5</v>
      </c>
      <c r="C60" s="58" t="s">
        <v>34</v>
      </c>
      <c r="D60" s="58" t="s">
        <v>35</v>
      </c>
      <c r="E60" s="59" t="s">
        <v>36</v>
      </c>
      <c r="F60" s="60"/>
      <c r="G60" s="60"/>
      <c r="H60" s="61"/>
      <c r="I60" s="62" t="s">
        <v>38</v>
      </c>
      <c r="J60" s="63"/>
      <c r="K60" s="64"/>
    </row>
    <row r="61" spans="1:11">
      <c r="A61" s="65"/>
      <c r="B61" s="66"/>
      <c r="C61" s="66"/>
      <c r="D61" s="66"/>
      <c r="E61" s="67" t="s">
        <v>39</v>
      </c>
      <c r="F61" s="68"/>
      <c r="G61" s="67" t="s">
        <v>40</v>
      </c>
      <c r="H61" s="68"/>
      <c r="I61" s="69"/>
      <c r="J61" s="70"/>
      <c r="K61" s="71"/>
    </row>
    <row r="62" ht="14.25" spans="1:11">
      <c r="A62" s="72"/>
      <c r="B62" s="73"/>
      <c r="C62" s="74"/>
      <c r="D62" s="74"/>
      <c r="E62" s="75" t="s">
        <v>41</v>
      </c>
      <c r="F62" s="73" t="s">
        <v>42</v>
      </c>
      <c r="G62" s="75" t="s">
        <v>41</v>
      </c>
      <c r="H62" s="73" t="s">
        <v>42</v>
      </c>
      <c r="I62" s="74" t="s">
        <v>43</v>
      </c>
      <c r="J62" s="75" t="s">
        <v>44</v>
      </c>
      <c r="K62" s="76" t="s">
        <v>45</v>
      </c>
    </row>
    <row r="63" ht="14.25" spans="1:11">
      <c r="A63" s="77">
        <v>1</v>
      </c>
      <c r="B63" s="78" t="s">
        <v>14</v>
      </c>
      <c r="C63" s="7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100">
        <v>0</v>
      </c>
      <c r="K63" s="101">
        <v>0</v>
      </c>
    </row>
    <row r="64" spans="1:11">
      <c r="A64" s="82">
        <v>2</v>
      </c>
      <c r="B64" s="83" t="s">
        <v>15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102">
        <v>0</v>
      </c>
      <c r="K64" s="103">
        <v>0</v>
      </c>
    </row>
    <row r="65" spans="1:11">
      <c r="A65" s="82">
        <v>3</v>
      </c>
      <c r="B65" s="83" t="s">
        <v>16</v>
      </c>
      <c r="C65" s="84"/>
      <c r="D65" s="84"/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102">
        <v>0</v>
      </c>
      <c r="K65" s="103">
        <v>0</v>
      </c>
    </row>
    <row r="66" spans="1:11">
      <c r="A66" s="82">
        <v>4</v>
      </c>
      <c r="B66" s="83" t="s">
        <v>17</v>
      </c>
      <c r="C66" s="84"/>
      <c r="D66" s="84"/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102">
        <v>0</v>
      </c>
      <c r="K66" s="103">
        <v>0</v>
      </c>
    </row>
    <row r="67" spans="1:11">
      <c r="A67" s="82">
        <v>5</v>
      </c>
      <c r="B67" s="83" t="s">
        <v>18</v>
      </c>
      <c r="C67" s="84"/>
      <c r="D67" s="84"/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102">
        <v>0</v>
      </c>
      <c r="K67" s="103">
        <v>0</v>
      </c>
    </row>
    <row r="68" spans="1:11">
      <c r="A68" s="82">
        <v>6</v>
      </c>
      <c r="B68" s="83" t="s">
        <v>19</v>
      </c>
      <c r="C68" s="84"/>
      <c r="D68" s="84"/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102">
        <v>0</v>
      </c>
      <c r="K68" s="103">
        <v>0</v>
      </c>
    </row>
    <row r="69" spans="1:11">
      <c r="A69" s="82">
        <v>7</v>
      </c>
      <c r="B69" s="83" t="s">
        <v>20</v>
      </c>
      <c r="C69" s="84"/>
      <c r="D69" s="84"/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102">
        <v>0</v>
      </c>
      <c r="K69" s="103">
        <v>0</v>
      </c>
    </row>
    <row r="70" spans="1:11">
      <c r="A70" s="82">
        <v>8</v>
      </c>
      <c r="B70" s="83" t="s">
        <v>21</v>
      </c>
      <c r="C70" s="84"/>
      <c r="D70" s="84"/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102">
        <v>0</v>
      </c>
      <c r="K70" s="103">
        <v>0</v>
      </c>
    </row>
    <row r="71" spans="1:11">
      <c r="A71" s="82">
        <v>9</v>
      </c>
      <c r="B71" s="83" t="s">
        <v>22</v>
      </c>
      <c r="C71" s="84"/>
      <c r="D71" s="84"/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102">
        <v>0</v>
      </c>
      <c r="K71" s="103">
        <v>0</v>
      </c>
    </row>
    <row r="72" spans="1:11">
      <c r="A72" s="82">
        <v>10</v>
      </c>
      <c r="B72" s="83" t="s">
        <v>23</v>
      </c>
      <c r="C72" s="84"/>
      <c r="D72" s="84"/>
      <c r="E72" s="84">
        <v>0</v>
      </c>
      <c r="F72" s="84">
        <v>0</v>
      </c>
      <c r="G72" s="84">
        <v>0</v>
      </c>
      <c r="H72" s="84">
        <v>0</v>
      </c>
      <c r="I72" s="84">
        <v>0</v>
      </c>
      <c r="J72" s="102">
        <v>0</v>
      </c>
      <c r="K72" s="103">
        <v>0</v>
      </c>
    </row>
    <row r="73" spans="1:11">
      <c r="A73" s="82">
        <v>11</v>
      </c>
      <c r="B73" s="83" t="s">
        <v>24</v>
      </c>
      <c r="C73" s="84"/>
      <c r="D73" s="84"/>
      <c r="E73" s="84">
        <v>0</v>
      </c>
      <c r="F73" s="84">
        <v>0</v>
      </c>
      <c r="G73" s="84">
        <v>0</v>
      </c>
      <c r="H73" s="84">
        <v>0</v>
      </c>
      <c r="I73" s="84">
        <v>0</v>
      </c>
      <c r="J73" s="102">
        <v>0</v>
      </c>
      <c r="K73" s="103">
        <v>0</v>
      </c>
    </row>
    <row r="74" ht="14.25" spans="1:11">
      <c r="A74" s="85">
        <v>12</v>
      </c>
      <c r="B74" s="86" t="s">
        <v>25</v>
      </c>
      <c r="C74" s="84"/>
      <c r="D74" s="84"/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102">
        <v>0</v>
      </c>
      <c r="K74" s="103">
        <v>0</v>
      </c>
    </row>
    <row r="75" ht="15" spans="1:11">
      <c r="A75" s="87" t="s">
        <v>26</v>
      </c>
      <c r="B75" s="88"/>
      <c r="C75" s="88">
        <f t="shared" ref="C75:K75" si="6">SUM(C63:C74)</f>
        <v>0</v>
      </c>
      <c r="D75" s="88">
        <f t="shared" si="6"/>
        <v>0</v>
      </c>
      <c r="E75" s="88">
        <f t="shared" si="6"/>
        <v>0</v>
      </c>
      <c r="F75" s="88">
        <f t="shared" si="6"/>
        <v>0</v>
      </c>
      <c r="G75" s="88">
        <f t="shared" si="6"/>
        <v>0</v>
      </c>
      <c r="H75" s="88">
        <f t="shared" si="6"/>
        <v>0</v>
      </c>
      <c r="I75" s="88">
        <f t="shared" si="6"/>
        <v>0</v>
      </c>
      <c r="J75" s="89">
        <f t="shared" ref="J75" si="7">SUM(J63:J74)</f>
        <v>0</v>
      </c>
      <c r="K75" s="88">
        <f t="shared" si="6"/>
        <v>0</v>
      </c>
    </row>
    <row r="76" ht="15"/>
    <row r="77" ht="15" spans="1:11">
      <c r="A77" s="96" t="s">
        <v>30</v>
      </c>
      <c r="B77" s="97"/>
      <c r="C77" s="97"/>
      <c r="D77" s="97"/>
      <c r="E77" s="97"/>
      <c r="F77" s="97"/>
      <c r="G77" s="97"/>
      <c r="H77" s="97"/>
      <c r="I77" s="97"/>
      <c r="J77" s="97"/>
      <c r="K77" s="98"/>
    </row>
    <row r="78" ht="14.25" spans="1:11">
      <c r="A78" s="56" t="s">
        <v>4</v>
      </c>
      <c r="B78" s="57" t="s">
        <v>5</v>
      </c>
      <c r="C78" s="58" t="s">
        <v>34</v>
      </c>
      <c r="D78" s="58" t="s">
        <v>35</v>
      </c>
      <c r="E78" s="59" t="s">
        <v>36</v>
      </c>
      <c r="F78" s="60"/>
      <c r="G78" s="60"/>
      <c r="H78" s="61"/>
      <c r="I78" s="62" t="s">
        <v>38</v>
      </c>
      <c r="J78" s="63"/>
      <c r="K78" s="64"/>
    </row>
    <row r="79" spans="1:11">
      <c r="A79" s="65"/>
      <c r="B79" s="66"/>
      <c r="C79" s="66"/>
      <c r="D79" s="66"/>
      <c r="E79" s="67" t="s">
        <v>39</v>
      </c>
      <c r="F79" s="68"/>
      <c r="G79" s="67" t="s">
        <v>40</v>
      </c>
      <c r="H79" s="68"/>
      <c r="I79" s="69"/>
      <c r="J79" s="70"/>
      <c r="K79" s="71"/>
    </row>
    <row r="80" ht="14.25" spans="1:11">
      <c r="A80" s="72"/>
      <c r="B80" s="73"/>
      <c r="C80" s="74"/>
      <c r="D80" s="74"/>
      <c r="E80" s="75" t="s">
        <v>41</v>
      </c>
      <c r="F80" s="73" t="s">
        <v>42</v>
      </c>
      <c r="G80" s="75" t="s">
        <v>41</v>
      </c>
      <c r="H80" s="73" t="s">
        <v>42</v>
      </c>
      <c r="I80" s="74" t="s">
        <v>43</v>
      </c>
      <c r="J80" s="75" t="s">
        <v>44</v>
      </c>
      <c r="K80" s="76" t="s">
        <v>45</v>
      </c>
    </row>
    <row r="81" ht="14.25" spans="1:11">
      <c r="A81" s="77">
        <v>1</v>
      </c>
      <c r="B81" s="78" t="s">
        <v>14</v>
      </c>
      <c r="C81" s="79">
        <v>0</v>
      </c>
      <c r="D81" s="99">
        <v>0</v>
      </c>
      <c r="E81" s="99">
        <v>0</v>
      </c>
      <c r="F81" s="99">
        <v>0</v>
      </c>
      <c r="G81" s="99">
        <v>310</v>
      </c>
      <c r="H81" s="99">
        <v>0</v>
      </c>
      <c r="I81" s="99">
        <v>0</v>
      </c>
      <c r="J81" s="100">
        <v>0</v>
      </c>
      <c r="K81" s="101">
        <v>0</v>
      </c>
    </row>
    <row r="82" spans="1:11">
      <c r="A82" s="82">
        <v>2</v>
      </c>
      <c r="B82" s="83" t="s">
        <v>15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4">
        <v>0</v>
      </c>
      <c r="J82" s="102">
        <v>0</v>
      </c>
      <c r="K82" s="103">
        <v>0</v>
      </c>
    </row>
    <row r="83" spans="1:11">
      <c r="A83" s="82">
        <v>3</v>
      </c>
      <c r="B83" s="83" t="s">
        <v>16</v>
      </c>
      <c r="C83" s="84"/>
      <c r="D83" s="84"/>
      <c r="E83" s="84"/>
      <c r="F83" s="84"/>
      <c r="G83" s="84">
        <v>0</v>
      </c>
      <c r="H83" s="84">
        <v>0</v>
      </c>
      <c r="I83" s="84">
        <v>0</v>
      </c>
      <c r="J83" s="102">
        <v>0</v>
      </c>
      <c r="K83" s="103">
        <v>0</v>
      </c>
    </row>
    <row r="84" spans="1:11">
      <c r="A84" s="82">
        <v>4</v>
      </c>
      <c r="B84" s="83" t="s">
        <v>17</v>
      </c>
      <c r="C84" s="84"/>
      <c r="D84" s="84"/>
      <c r="E84" s="84"/>
      <c r="F84" s="84"/>
      <c r="G84" s="84">
        <v>0</v>
      </c>
      <c r="H84" s="84">
        <v>0</v>
      </c>
      <c r="I84" s="84">
        <v>0</v>
      </c>
      <c r="J84" s="102">
        <v>0</v>
      </c>
      <c r="K84" s="103">
        <v>0</v>
      </c>
    </row>
    <row r="85" spans="1:11">
      <c r="A85" s="82">
        <v>5</v>
      </c>
      <c r="B85" s="83" t="s">
        <v>18</v>
      </c>
      <c r="C85" s="84"/>
      <c r="D85" s="84"/>
      <c r="E85" s="84"/>
      <c r="F85" s="84"/>
      <c r="G85" s="84">
        <v>0</v>
      </c>
      <c r="H85" s="84">
        <v>0</v>
      </c>
      <c r="I85" s="84">
        <v>0</v>
      </c>
      <c r="J85" s="102">
        <v>0</v>
      </c>
      <c r="K85" s="103">
        <v>0</v>
      </c>
    </row>
    <row r="86" spans="1:11">
      <c r="A86" s="82">
        <v>6</v>
      </c>
      <c r="B86" s="83" t="s">
        <v>19</v>
      </c>
      <c r="C86" s="84"/>
      <c r="D86" s="84"/>
      <c r="E86" s="84"/>
      <c r="F86" s="84"/>
      <c r="G86" s="84">
        <v>0</v>
      </c>
      <c r="H86" s="84">
        <v>0</v>
      </c>
      <c r="I86" s="84">
        <v>0</v>
      </c>
      <c r="J86" s="102">
        <v>0</v>
      </c>
      <c r="K86" s="103">
        <v>0</v>
      </c>
    </row>
    <row r="87" spans="1:11">
      <c r="A87" s="82">
        <v>7</v>
      </c>
      <c r="B87" s="83" t="s">
        <v>20</v>
      </c>
      <c r="C87" s="84"/>
      <c r="D87" s="84"/>
      <c r="E87" s="84"/>
      <c r="F87" s="84"/>
      <c r="G87" s="84">
        <v>0</v>
      </c>
      <c r="H87" s="84">
        <v>0</v>
      </c>
      <c r="I87" s="84">
        <v>0</v>
      </c>
      <c r="J87" s="102">
        <v>0</v>
      </c>
      <c r="K87" s="103">
        <v>0</v>
      </c>
    </row>
    <row r="88" spans="1:11">
      <c r="A88" s="82">
        <v>8</v>
      </c>
      <c r="B88" s="83" t="s">
        <v>21</v>
      </c>
      <c r="C88" s="84"/>
      <c r="D88" s="84"/>
      <c r="E88" s="84"/>
      <c r="F88" s="84"/>
      <c r="G88" s="84">
        <v>0</v>
      </c>
      <c r="H88" s="84">
        <v>0</v>
      </c>
      <c r="I88" s="84">
        <v>0</v>
      </c>
      <c r="J88" s="102">
        <v>0</v>
      </c>
      <c r="K88" s="103">
        <v>0</v>
      </c>
    </row>
    <row r="89" spans="1:11">
      <c r="A89" s="82">
        <v>9</v>
      </c>
      <c r="B89" s="83" t="s">
        <v>22</v>
      </c>
      <c r="C89" s="84"/>
      <c r="D89" s="84"/>
      <c r="E89" s="84"/>
      <c r="F89" s="84"/>
      <c r="G89" s="84">
        <v>0</v>
      </c>
      <c r="H89" s="84">
        <v>0</v>
      </c>
      <c r="I89" s="84">
        <v>0</v>
      </c>
      <c r="J89" s="102">
        <v>0</v>
      </c>
      <c r="K89" s="103">
        <v>0</v>
      </c>
    </row>
    <row r="90" spans="1:11">
      <c r="A90" s="82">
        <v>10</v>
      </c>
      <c r="B90" s="83" t="s">
        <v>23</v>
      </c>
      <c r="C90" s="84"/>
      <c r="D90" s="84"/>
      <c r="E90" s="84"/>
      <c r="F90" s="84"/>
      <c r="G90" s="84">
        <v>0</v>
      </c>
      <c r="H90" s="84">
        <v>0</v>
      </c>
      <c r="I90" s="84">
        <v>0</v>
      </c>
      <c r="J90" s="102">
        <v>0</v>
      </c>
      <c r="K90" s="103">
        <v>0</v>
      </c>
    </row>
    <row r="91" spans="1:11">
      <c r="A91" s="82">
        <v>11</v>
      </c>
      <c r="B91" s="83" t="s">
        <v>24</v>
      </c>
      <c r="C91" s="84"/>
      <c r="D91" s="84"/>
      <c r="E91" s="84"/>
      <c r="F91" s="84"/>
      <c r="G91" s="84">
        <v>0</v>
      </c>
      <c r="H91" s="84">
        <v>0</v>
      </c>
      <c r="I91" s="84">
        <v>0</v>
      </c>
      <c r="J91" s="102">
        <v>0</v>
      </c>
      <c r="K91" s="103">
        <v>0</v>
      </c>
    </row>
    <row r="92" ht="14.25" spans="1:11">
      <c r="A92" s="85">
        <v>12</v>
      </c>
      <c r="B92" s="86" t="s">
        <v>25</v>
      </c>
      <c r="C92" s="84"/>
      <c r="D92" s="84"/>
      <c r="E92" s="84"/>
      <c r="F92" s="84"/>
      <c r="G92" s="84">
        <v>0</v>
      </c>
      <c r="H92" s="84">
        <v>0</v>
      </c>
      <c r="I92" s="84">
        <v>0</v>
      </c>
      <c r="J92" s="102">
        <v>0</v>
      </c>
      <c r="K92" s="103">
        <v>0</v>
      </c>
    </row>
    <row r="93" ht="15" spans="1:11">
      <c r="A93" s="87" t="s">
        <v>26</v>
      </c>
      <c r="B93" s="88"/>
      <c r="C93" s="88">
        <f t="shared" ref="C93:K93" si="8">SUM(C81:C92)</f>
        <v>0</v>
      </c>
      <c r="D93" s="88">
        <f t="shared" si="8"/>
        <v>0</v>
      </c>
      <c r="E93" s="88">
        <f t="shared" si="8"/>
        <v>0</v>
      </c>
      <c r="F93" s="88">
        <f t="shared" si="8"/>
        <v>0</v>
      </c>
      <c r="G93" s="88">
        <f t="shared" si="8"/>
        <v>310</v>
      </c>
      <c r="H93" s="88">
        <f t="shared" si="8"/>
        <v>0</v>
      </c>
      <c r="I93" s="88">
        <f t="shared" si="8"/>
        <v>0</v>
      </c>
      <c r="J93" s="89">
        <f t="shared" ref="J93" si="9">SUM(J81:J92)</f>
        <v>0</v>
      </c>
      <c r="K93" s="88">
        <f t="shared" si="8"/>
        <v>0</v>
      </c>
    </row>
    <row r="94" ht="15"/>
    <row r="95" ht="15" spans="1:11">
      <c r="A95" s="96" t="s">
        <v>31</v>
      </c>
      <c r="B95" s="97"/>
      <c r="C95" s="97"/>
      <c r="D95" s="97"/>
      <c r="E95" s="97"/>
      <c r="F95" s="97"/>
      <c r="G95" s="97"/>
      <c r="H95" s="97"/>
      <c r="I95" s="97"/>
      <c r="J95" s="97"/>
      <c r="K95" s="98"/>
    </row>
    <row r="96" ht="14.25" spans="1:11">
      <c r="A96" s="56" t="s">
        <v>4</v>
      </c>
      <c r="B96" s="57" t="s">
        <v>5</v>
      </c>
      <c r="C96" s="58" t="s">
        <v>34</v>
      </c>
      <c r="D96" s="58" t="s">
        <v>35</v>
      </c>
      <c r="E96" s="59" t="s">
        <v>36</v>
      </c>
      <c r="F96" s="60"/>
      <c r="G96" s="60"/>
      <c r="H96" s="61"/>
      <c r="I96" s="62" t="s">
        <v>38</v>
      </c>
      <c r="J96" s="63"/>
      <c r="K96" s="64"/>
    </row>
    <row r="97" spans="1:11">
      <c r="A97" s="65"/>
      <c r="B97" s="66"/>
      <c r="C97" s="66"/>
      <c r="D97" s="66"/>
      <c r="E97" s="67" t="s">
        <v>39</v>
      </c>
      <c r="F97" s="68"/>
      <c r="G97" s="67" t="s">
        <v>40</v>
      </c>
      <c r="H97" s="68"/>
      <c r="I97" s="69"/>
      <c r="J97" s="70"/>
      <c r="K97" s="71"/>
    </row>
    <row r="98" ht="14.25" spans="1:11">
      <c r="A98" s="72"/>
      <c r="B98" s="73"/>
      <c r="C98" s="74"/>
      <c r="D98" s="74"/>
      <c r="E98" s="75" t="s">
        <v>41</v>
      </c>
      <c r="F98" s="73" t="s">
        <v>42</v>
      </c>
      <c r="G98" s="75" t="s">
        <v>41</v>
      </c>
      <c r="H98" s="73" t="s">
        <v>42</v>
      </c>
      <c r="I98" s="74" t="s">
        <v>43</v>
      </c>
      <c r="J98" s="75" t="s">
        <v>44</v>
      </c>
      <c r="K98" s="76" t="s">
        <v>45</v>
      </c>
    </row>
    <row r="99" ht="14.25" spans="1:11">
      <c r="A99" s="77">
        <v>1</v>
      </c>
      <c r="B99" s="78" t="s">
        <v>14</v>
      </c>
      <c r="C99" s="7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100">
        <v>0</v>
      </c>
      <c r="K99" s="101">
        <v>0</v>
      </c>
    </row>
    <row r="100" spans="1:11">
      <c r="A100" s="82">
        <v>2</v>
      </c>
      <c r="B100" s="83" t="s">
        <v>15</v>
      </c>
      <c r="C100" s="84">
        <v>2</v>
      </c>
      <c r="D100" s="84">
        <v>648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102">
        <v>0</v>
      </c>
      <c r="K100" s="103">
        <v>0</v>
      </c>
    </row>
    <row r="101" spans="1:11">
      <c r="A101" s="82">
        <v>3</v>
      </c>
      <c r="B101" s="83" t="s">
        <v>16</v>
      </c>
      <c r="C101" s="84"/>
      <c r="D101" s="84"/>
      <c r="E101" s="84"/>
      <c r="F101" s="84"/>
      <c r="G101" s="84">
        <v>0</v>
      </c>
      <c r="H101" s="84">
        <v>0</v>
      </c>
      <c r="I101" s="84">
        <v>0</v>
      </c>
      <c r="J101" s="102">
        <v>0</v>
      </c>
      <c r="K101" s="103">
        <v>0</v>
      </c>
    </row>
    <row r="102" spans="1:11">
      <c r="A102" s="82">
        <v>4</v>
      </c>
      <c r="B102" s="83" t="s">
        <v>17</v>
      </c>
      <c r="C102" s="84"/>
      <c r="D102" s="84"/>
      <c r="E102" s="84"/>
      <c r="F102" s="84"/>
      <c r="G102" s="84">
        <v>0</v>
      </c>
      <c r="H102" s="84">
        <v>0</v>
      </c>
      <c r="I102" s="84">
        <v>0</v>
      </c>
      <c r="J102" s="102">
        <v>0</v>
      </c>
      <c r="K102" s="103">
        <v>0</v>
      </c>
    </row>
    <row r="103" spans="1:11">
      <c r="A103" s="82">
        <v>5</v>
      </c>
      <c r="B103" s="83" t="s">
        <v>18</v>
      </c>
      <c r="C103" s="84"/>
      <c r="D103" s="84"/>
      <c r="E103" s="84"/>
      <c r="F103" s="84"/>
      <c r="G103" s="84">
        <v>0</v>
      </c>
      <c r="H103" s="84">
        <v>0</v>
      </c>
      <c r="I103" s="84">
        <v>0</v>
      </c>
      <c r="J103" s="102">
        <v>0</v>
      </c>
      <c r="K103" s="103">
        <v>0</v>
      </c>
    </row>
    <row r="104" spans="1:11">
      <c r="A104" s="82">
        <v>6</v>
      </c>
      <c r="B104" s="83" t="s">
        <v>19</v>
      </c>
      <c r="C104" s="84"/>
      <c r="D104" s="84"/>
      <c r="E104" s="84"/>
      <c r="F104" s="84"/>
      <c r="G104" s="84">
        <v>0</v>
      </c>
      <c r="H104" s="84">
        <v>0</v>
      </c>
      <c r="I104" s="84">
        <v>0</v>
      </c>
      <c r="J104" s="102">
        <v>0</v>
      </c>
      <c r="K104" s="103">
        <v>0</v>
      </c>
    </row>
    <row r="105" spans="1:11">
      <c r="A105" s="82">
        <v>7</v>
      </c>
      <c r="B105" s="83" t="s">
        <v>20</v>
      </c>
      <c r="C105" s="84"/>
      <c r="D105" s="84"/>
      <c r="E105" s="84"/>
      <c r="F105" s="84"/>
      <c r="G105" s="84">
        <v>0</v>
      </c>
      <c r="H105" s="84">
        <v>0</v>
      </c>
      <c r="I105" s="84">
        <v>0</v>
      </c>
      <c r="J105" s="102">
        <v>0</v>
      </c>
      <c r="K105" s="103">
        <v>0</v>
      </c>
    </row>
    <row r="106" spans="1:11">
      <c r="A106" s="82">
        <v>8</v>
      </c>
      <c r="B106" s="83" t="s">
        <v>21</v>
      </c>
      <c r="C106" s="84"/>
      <c r="D106" s="84"/>
      <c r="E106" s="84"/>
      <c r="F106" s="84"/>
      <c r="G106" s="84">
        <v>0</v>
      </c>
      <c r="H106" s="84">
        <v>0</v>
      </c>
      <c r="I106" s="84">
        <v>0</v>
      </c>
      <c r="J106" s="102">
        <v>0</v>
      </c>
      <c r="K106" s="103">
        <v>0</v>
      </c>
    </row>
    <row r="107" spans="1:11">
      <c r="A107" s="82">
        <v>9</v>
      </c>
      <c r="B107" s="83" t="s">
        <v>22</v>
      </c>
      <c r="C107" s="84"/>
      <c r="D107" s="84"/>
      <c r="E107" s="84"/>
      <c r="F107" s="84"/>
      <c r="G107" s="84">
        <v>0</v>
      </c>
      <c r="H107" s="84">
        <v>0</v>
      </c>
      <c r="I107" s="84">
        <v>0</v>
      </c>
      <c r="J107" s="102">
        <v>0</v>
      </c>
      <c r="K107" s="103">
        <v>0</v>
      </c>
    </row>
    <row r="108" spans="1:11">
      <c r="A108" s="82">
        <v>10</v>
      </c>
      <c r="B108" s="83" t="s">
        <v>23</v>
      </c>
      <c r="C108" s="84"/>
      <c r="D108" s="84"/>
      <c r="E108" s="84"/>
      <c r="F108" s="84"/>
      <c r="G108" s="84">
        <v>0</v>
      </c>
      <c r="H108" s="84">
        <v>0</v>
      </c>
      <c r="I108" s="84">
        <v>0</v>
      </c>
      <c r="J108" s="102">
        <v>0</v>
      </c>
      <c r="K108" s="103">
        <v>0</v>
      </c>
    </row>
    <row r="109" spans="1:11">
      <c r="A109" s="82">
        <v>11</v>
      </c>
      <c r="B109" s="83" t="s">
        <v>24</v>
      </c>
      <c r="C109" s="84"/>
      <c r="D109" s="84"/>
      <c r="E109" s="84"/>
      <c r="F109" s="84"/>
      <c r="G109" s="84">
        <v>0</v>
      </c>
      <c r="H109" s="84">
        <v>0</v>
      </c>
      <c r="I109" s="84">
        <v>0</v>
      </c>
      <c r="J109" s="102">
        <v>0</v>
      </c>
      <c r="K109" s="103">
        <v>0</v>
      </c>
    </row>
    <row r="110" ht="14.25" spans="1:11">
      <c r="A110" s="85">
        <v>12</v>
      </c>
      <c r="B110" s="86" t="s">
        <v>25</v>
      </c>
      <c r="C110" s="84"/>
      <c r="D110" s="84"/>
      <c r="E110" s="84"/>
      <c r="F110" s="84"/>
      <c r="G110" s="84">
        <v>0</v>
      </c>
      <c r="H110" s="84">
        <v>0</v>
      </c>
      <c r="I110" s="84">
        <v>0</v>
      </c>
      <c r="J110" s="102">
        <v>0</v>
      </c>
      <c r="K110" s="103">
        <v>0</v>
      </c>
    </row>
    <row r="111" ht="15" spans="1:11">
      <c r="A111" s="87" t="s">
        <v>26</v>
      </c>
      <c r="B111" s="88"/>
      <c r="C111" s="88">
        <f t="shared" ref="C111:K111" si="10">SUM(C99:C110)</f>
        <v>2</v>
      </c>
      <c r="D111" s="88">
        <f t="shared" si="10"/>
        <v>648</v>
      </c>
      <c r="E111" s="88">
        <f t="shared" si="10"/>
        <v>0</v>
      </c>
      <c r="F111" s="88">
        <f t="shared" si="10"/>
        <v>0</v>
      </c>
      <c r="G111" s="88">
        <f t="shared" si="10"/>
        <v>0</v>
      </c>
      <c r="H111" s="88">
        <f t="shared" si="10"/>
        <v>0</v>
      </c>
      <c r="I111" s="88">
        <f t="shared" si="10"/>
        <v>0</v>
      </c>
      <c r="J111" s="89">
        <f t="shared" ref="J111" si="11">SUM(J99:J110)</f>
        <v>0</v>
      </c>
      <c r="K111" s="88">
        <f t="shared" si="10"/>
        <v>0</v>
      </c>
    </row>
    <row r="112" ht="15"/>
    <row r="113" ht="15" spans="1:11">
      <c r="A113" s="92" t="s">
        <v>46</v>
      </c>
      <c r="B113" s="93"/>
      <c r="C113" s="93">
        <f t="shared" ref="C113:K113" si="12">SUM(C21,C39,C57,C75,C93,C111)</f>
        <v>6</v>
      </c>
      <c r="D113" s="93">
        <f t="shared" si="12"/>
        <v>3230</v>
      </c>
      <c r="E113" s="93">
        <f t="shared" si="12"/>
        <v>0</v>
      </c>
      <c r="F113" s="105">
        <f t="shared" si="12"/>
        <v>0</v>
      </c>
      <c r="G113" s="93">
        <f t="shared" si="12"/>
        <v>310</v>
      </c>
      <c r="H113" s="93">
        <f t="shared" si="12"/>
        <v>0</v>
      </c>
      <c r="I113" s="93">
        <f t="shared" si="12"/>
        <v>0</v>
      </c>
      <c r="J113" s="94">
        <f t="shared" si="12"/>
        <v>0</v>
      </c>
      <c r="K113" s="95">
        <f t="shared" si="12"/>
        <v>0</v>
      </c>
    </row>
    <row r="114" ht="14.25"/>
  </sheetData>
  <mergeCells count="65">
    <mergeCell ref="A1:K1"/>
    <mergeCell ref="A2:K2"/>
    <mergeCell ref="A3:K3"/>
    <mergeCell ref="A5:K5"/>
    <mergeCell ref="E6:H6"/>
    <mergeCell ref="E7:F7"/>
    <mergeCell ref="G7:H7"/>
    <mergeCell ref="A21:B21"/>
    <mergeCell ref="A22:K22"/>
    <mergeCell ref="A23:K23"/>
    <mergeCell ref="E24:H24"/>
    <mergeCell ref="E25:F25"/>
    <mergeCell ref="G25:H25"/>
    <mergeCell ref="A39:B39"/>
    <mergeCell ref="A41:K41"/>
    <mergeCell ref="E42:H42"/>
    <mergeCell ref="E43:F43"/>
    <mergeCell ref="G43:H43"/>
    <mergeCell ref="A57:B57"/>
    <mergeCell ref="A59:K59"/>
    <mergeCell ref="E60:H60"/>
    <mergeCell ref="E61:F61"/>
    <mergeCell ref="G61:H61"/>
    <mergeCell ref="A75:B75"/>
    <mergeCell ref="A77:K77"/>
    <mergeCell ref="E78:H78"/>
    <mergeCell ref="E79:F79"/>
    <mergeCell ref="G79:H79"/>
    <mergeCell ref="A93:B93"/>
    <mergeCell ref="A95:K95"/>
    <mergeCell ref="E96:H96"/>
    <mergeCell ref="E97:F97"/>
    <mergeCell ref="G97:H97"/>
    <mergeCell ref="A111:B111"/>
    <mergeCell ref="A113:B113"/>
    <mergeCell ref="A6:A8"/>
    <mergeCell ref="A24:A26"/>
    <mergeCell ref="A42:A44"/>
    <mergeCell ref="A60:A62"/>
    <mergeCell ref="A78:A80"/>
    <mergeCell ref="A96:A98"/>
    <mergeCell ref="B6:B8"/>
    <mergeCell ref="B24:B26"/>
    <mergeCell ref="B42:B44"/>
    <mergeCell ref="B60:B62"/>
    <mergeCell ref="B78:B80"/>
    <mergeCell ref="B96:B98"/>
    <mergeCell ref="C6:C8"/>
    <mergeCell ref="C24:C26"/>
    <mergeCell ref="C42:C44"/>
    <mergeCell ref="C60:C62"/>
    <mergeCell ref="C78:C80"/>
    <mergeCell ref="C96:C98"/>
    <mergeCell ref="D6:D8"/>
    <mergeCell ref="D24:D26"/>
    <mergeCell ref="D42:D44"/>
    <mergeCell ref="D60:D62"/>
    <mergeCell ref="D78:D80"/>
    <mergeCell ref="D96:D98"/>
    <mergeCell ref="I96:K97"/>
    <mergeCell ref="I42:K43"/>
    <mergeCell ref="I24:K25"/>
    <mergeCell ref="I6:K7"/>
    <mergeCell ref="I60:K61"/>
    <mergeCell ref="I78:K79"/>
  </mergeCells>
  <printOptions horizontalCentered="1"/>
  <pageMargins left="0.5" right="0.25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14"/>
  <sheetViews>
    <sheetView showWhiteSpace="0" workbookViewId="0">
      <selection activeCell="C11" sqref="C11"/>
    </sheetView>
  </sheetViews>
  <sheetFormatPr defaultColWidth="9" defaultRowHeight="13.5"/>
  <cols>
    <col min="1" max="1" width="6.88571428571429" style="1" customWidth="1"/>
    <col min="2" max="2" width="24" style="1" customWidth="1"/>
    <col min="3" max="11" width="17.4380952380952" style="1" customWidth="1"/>
    <col min="12" max="16384" width="9" style="1"/>
  </cols>
  <sheetData>
    <row r="1" ht="14.25" spans="1:11">
      <c r="A1" s="55" t="s">
        <v>53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ht="14.25" spans="1:1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ht="14.25" spans="1:1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ht="15" spans="1:1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</row>
    <row r="5" ht="15" spans="1:1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5"/>
    </row>
    <row r="6" ht="17.25" customHeight="1" spans="1:11">
      <c r="A6" s="56" t="s">
        <v>4</v>
      </c>
      <c r="B6" s="57" t="s">
        <v>5</v>
      </c>
      <c r="C6" s="58" t="s">
        <v>34</v>
      </c>
      <c r="D6" s="58" t="s">
        <v>35</v>
      </c>
      <c r="E6" s="59" t="s">
        <v>36</v>
      </c>
      <c r="F6" s="60"/>
      <c r="G6" s="60"/>
      <c r="H6" s="61"/>
      <c r="I6" s="62" t="s">
        <v>38</v>
      </c>
      <c r="J6" s="63"/>
      <c r="K6" s="64"/>
    </row>
    <row r="7" ht="17.25" customHeight="1" spans="1:11">
      <c r="A7" s="65"/>
      <c r="B7" s="66"/>
      <c r="C7" s="66"/>
      <c r="D7" s="66"/>
      <c r="E7" s="67" t="s">
        <v>39</v>
      </c>
      <c r="F7" s="68"/>
      <c r="G7" s="67" t="s">
        <v>40</v>
      </c>
      <c r="H7" s="68"/>
      <c r="I7" s="69"/>
      <c r="J7" s="70"/>
      <c r="K7" s="71"/>
    </row>
    <row r="8" ht="17.25" customHeight="1" spans="1:11">
      <c r="A8" s="72"/>
      <c r="B8" s="73"/>
      <c r="C8" s="74"/>
      <c r="D8" s="74"/>
      <c r="E8" s="75" t="s">
        <v>41</v>
      </c>
      <c r="F8" s="74" t="s">
        <v>42</v>
      </c>
      <c r="G8" s="75" t="s">
        <v>41</v>
      </c>
      <c r="H8" s="74" t="s">
        <v>42</v>
      </c>
      <c r="I8" s="74" t="s">
        <v>43</v>
      </c>
      <c r="J8" s="75" t="s">
        <v>44</v>
      </c>
      <c r="K8" s="76" t="s">
        <v>45</v>
      </c>
    </row>
    <row r="9" ht="14.25" spans="1:11">
      <c r="A9" s="77">
        <v>1</v>
      </c>
      <c r="B9" s="78" t="s">
        <v>14</v>
      </c>
      <c r="C9" s="79">
        <v>1</v>
      </c>
      <c r="D9" s="79">
        <v>5602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80">
        <v>0</v>
      </c>
      <c r="K9" s="81">
        <v>100</v>
      </c>
    </row>
    <row r="10" spans="1:11">
      <c r="A10" s="82">
        <v>2</v>
      </c>
      <c r="B10" s="83" t="s">
        <v>15</v>
      </c>
      <c r="C10" s="84">
        <v>0</v>
      </c>
      <c r="D10" s="84">
        <v>0</v>
      </c>
      <c r="E10" s="84">
        <v>0</v>
      </c>
      <c r="F10" s="84">
        <v>0</v>
      </c>
      <c r="G10" s="84">
        <v>0</v>
      </c>
      <c r="H10" s="84">
        <v>0</v>
      </c>
      <c r="I10" s="84">
        <v>0</v>
      </c>
      <c r="J10" s="80">
        <v>0</v>
      </c>
      <c r="K10" s="81">
        <v>0</v>
      </c>
    </row>
    <row r="11" spans="1:11">
      <c r="A11" s="82">
        <v>3</v>
      </c>
      <c r="B11" s="83" t="s">
        <v>16</v>
      </c>
      <c r="C11" s="84"/>
      <c r="D11" s="84"/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0">
        <v>0</v>
      </c>
      <c r="K11" s="81">
        <v>0</v>
      </c>
    </row>
    <row r="12" spans="1:11">
      <c r="A12" s="82">
        <v>4</v>
      </c>
      <c r="B12" s="83" t="s">
        <v>17</v>
      </c>
      <c r="C12" s="84"/>
      <c r="D12" s="84"/>
      <c r="E12" s="84">
        <v>0</v>
      </c>
      <c r="F12" s="84">
        <v>0</v>
      </c>
      <c r="G12" s="84">
        <v>0</v>
      </c>
      <c r="H12" s="84">
        <v>0</v>
      </c>
      <c r="I12" s="84">
        <v>0</v>
      </c>
      <c r="J12" s="80">
        <v>0</v>
      </c>
      <c r="K12" s="81">
        <v>0</v>
      </c>
    </row>
    <row r="13" spans="1:11">
      <c r="A13" s="82">
        <v>5</v>
      </c>
      <c r="B13" s="83" t="s">
        <v>18</v>
      </c>
      <c r="C13" s="84"/>
      <c r="D13" s="84"/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0">
        <v>0</v>
      </c>
      <c r="K13" s="81">
        <v>0</v>
      </c>
    </row>
    <row r="14" spans="1:11">
      <c r="A14" s="82">
        <v>6</v>
      </c>
      <c r="B14" s="83" t="s">
        <v>19</v>
      </c>
      <c r="C14" s="84"/>
      <c r="D14" s="84"/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0">
        <v>0</v>
      </c>
      <c r="K14" s="81">
        <v>0</v>
      </c>
    </row>
    <row r="15" spans="1:11">
      <c r="A15" s="82">
        <v>7</v>
      </c>
      <c r="B15" s="83" t="s">
        <v>20</v>
      </c>
      <c r="C15" s="84"/>
      <c r="D15" s="84"/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0">
        <v>0</v>
      </c>
      <c r="K15" s="81">
        <v>0</v>
      </c>
    </row>
    <row r="16" spans="1:11">
      <c r="A16" s="82">
        <v>8</v>
      </c>
      <c r="B16" s="83" t="s">
        <v>21</v>
      </c>
      <c r="C16" s="84"/>
      <c r="D16" s="84"/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0">
        <v>0</v>
      </c>
      <c r="K16" s="81">
        <v>0</v>
      </c>
    </row>
    <row r="17" spans="1:11">
      <c r="A17" s="82">
        <v>9</v>
      </c>
      <c r="B17" s="83" t="s">
        <v>22</v>
      </c>
      <c r="C17" s="84"/>
      <c r="D17" s="84"/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0">
        <v>0</v>
      </c>
      <c r="K17" s="81">
        <v>0</v>
      </c>
    </row>
    <row r="18" spans="1:11">
      <c r="A18" s="82">
        <v>10</v>
      </c>
      <c r="B18" s="83" t="s">
        <v>23</v>
      </c>
      <c r="C18" s="84"/>
      <c r="D18" s="84"/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0">
        <v>0</v>
      </c>
      <c r="K18" s="81">
        <v>0</v>
      </c>
    </row>
    <row r="19" spans="1:11">
      <c r="A19" s="82">
        <v>11</v>
      </c>
      <c r="B19" s="83" t="s">
        <v>24</v>
      </c>
      <c r="C19" s="84"/>
      <c r="D19" s="84"/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0">
        <v>0</v>
      </c>
      <c r="K19" s="81">
        <v>0</v>
      </c>
    </row>
    <row r="20" ht="14.25" spans="1:11">
      <c r="A20" s="85">
        <v>12</v>
      </c>
      <c r="B20" s="86" t="s">
        <v>25</v>
      </c>
      <c r="C20" s="84"/>
      <c r="D20" s="84"/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0">
        <v>0</v>
      </c>
      <c r="K20" s="81">
        <v>0</v>
      </c>
    </row>
    <row r="21" ht="17.25" customHeight="1" spans="1:11">
      <c r="A21" s="87" t="s">
        <v>26</v>
      </c>
      <c r="B21" s="88"/>
      <c r="C21" s="88">
        <f>SUM(C9:C20)</f>
        <v>1</v>
      </c>
      <c r="D21" s="88">
        <f t="shared" ref="D21:K21" si="0">SUM(D9:D20)</f>
        <v>5602</v>
      </c>
      <c r="E21" s="88">
        <f t="shared" si="0"/>
        <v>0</v>
      </c>
      <c r="F21" s="88">
        <f t="shared" si="0"/>
        <v>0</v>
      </c>
      <c r="G21" s="88">
        <f t="shared" si="0"/>
        <v>0</v>
      </c>
      <c r="H21" s="88">
        <f t="shared" si="0"/>
        <v>0</v>
      </c>
      <c r="I21" s="88">
        <f t="shared" si="0"/>
        <v>0</v>
      </c>
      <c r="J21" s="89">
        <f t="shared" ref="J21" si="1">SUM(J9:J20)</f>
        <v>0</v>
      </c>
      <c r="K21" s="90">
        <f t="shared" si="0"/>
        <v>100</v>
      </c>
    </row>
    <row r="22" ht="15" spans="1:1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15" spans="1:11">
      <c r="A23" s="3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5"/>
    </row>
    <row r="24" ht="14.25" spans="1:11">
      <c r="A24" s="56" t="s">
        <v>4</v>
      </c>
      <c r="B24" s="57" t="s">
        <v>5</v>
      </c>
      <c r="C24" s="58" t="s">
        <v>34</v>
      </c>
      <c r="D24" s="58" t="s">
        <v>35</v>
      </c>
      <c r="E24" s="59" t="s">
        <v>36</v>
      </c>
      <c r="F24" s="60"/>
      <c r="G24" s="60"/>
      <c r="H24" s="61"/>
      <c r="I24" s="62" t="s">
        <v>38</v>
      </c>
      <c r="J24" s="63"/>
      <c r="K24" s="64"/>
    </row>
    <row r="25" spans="1:11">
      <c r="A25" s="65"/>
      <c r="B25" s="66"/>
      <c r="C25" s="66"/>
      <c r="D25" s="66"/>
      <c r="E25" s="67" t="s">
        <v>39</v>
      </c>
      <c r="F25" s="68"/>
      <c r="G25" s="67" t="s">
        <v>40</v>
      </c>
      <c r="H25" s="68"/>
      <c r="I25" s="69"/>
      <c r="J25" s="70"/>
      <c r="K25" s="71"/>
    </row>
    <row r="26" ht="14.25" spans="1:11">
      <c r="A26" s="72"/>
      <c r="B26" s="73"/>
      <c r="C26" s="74"/>
      <c r="D26" s="74"/>
      <c r="E26" s="75" t="s">
        <v>41</v>
      </c>
      <c r="F26" s="74" t="s">
        <v>42</v>
      </c>
      <c r="G26" s="75" t="s">
        <v>41</v>
      </c>
      <c r="H26" s="74" t="s">
        <v>42</v>
      </c>
      <c r="I26" s="74" t="s">
        <v>43</v>
      </c>
      <c r="J26" s="75" t="s">
        <v>44</v>
      </c>
      <c r="K26" s="76" t="s">
        <v>45</v>
      </c>
    </row>
    <row r="27" ht="14.25" spans="1:11">
      <c r="A27" s="77">
        <v>1</v>
      </c>
      <c r="B27" s="78" t="s">
        <v>14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80">
        <v>0</v>
      </c>
      <c r="K27" s="81">
        <v>0</v>
      </c>
    </row>
    <row r="28" spans="1:11">
      <c r="A28" s="82">
        <v>2</v>
      </c>
      <c r="B28" s="83" t="s">
        <v>15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4">
        <v>0</v>
      </c>
      <c r="J28" s="80">
        <v>0</v>
      </c>
      <c r="K28" s="81">
        <v>0</v>
      </c>
    </row>
    <row r="29" spans="1:11">
      <c r="A29" s="82">
        <v>3</v>
      </c>
      <c r="B29" s="83" t="s">
        <v>16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80">
        <v>0</v>
      </c>
      <c r="K29" s="81">
        <v>0</v>
      </c>
    </row>
    <row r="30" spans="1:11">
      <c r="A30" s="82">
        <v>4</v>
      </c>
      <c r="B30" s="83" t="s">
        <v>17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0">
        <v>0</v>
      </c>
      <c r="K30" s="81">
        <v>0</v>
      </c>
    </row>
    <row r="31" spans="1:11">
      <c r="A31" s="82">
        <v>5</v>
      </c>
      <c r="B31" s="83" t="s">
        <v>18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0">
        <v>0</v>
      </c>
      <c r="K31" s="81">
        <v>0</v>
      </c>
    </row>
    <row r="32" spans="1:11">
      <c r="A32" s="82">
        <v>6</v>
      </c>
      <c r="B32" s="83" t="s">
        <v>19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0">
        <v>0</v>
      </c>
      <c r="K32" s="81">
        <v>0</v>
      </c>
    </row>
    <row r="33" spans="1:11">
      <c r="A33" s="82">
        <v>7</v>
      </c>
      <c r="B33" s="83" t="s">
        <v>20</v>
      </c>
      <c r="C33" s="84">
        <v>0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0">
        <v>0</v>
      </c>
      <c r="K33" s="81">
        <v>0</v>
      </c>
    </row>
    <row r="34" spans="1:11">
      <c r="A34" s="82">
        <v>8</v>
      </c>
      <c r="B34" s="83" t="s">
        <v>21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0">
        <v>0</v>
      </c>
      <c r="K34" s="81">
        <v>0</v>
      </c>
    </row>
    <row r="35" spans="1:11">
      <c r="A35" s="82">
        <v>9</v>
      </c>
      <c r="B35" s="83" t="s">
        <v>22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0">
        <v>0</v>
      </c>
      <c r="K35" s="81">
        <v>0</v>
      </c>
    </row>
    <row r="36" spans="1:11">
      <c r="A36" s="82">
        <v>10</v>
      </c>
      <c r="B36" s="83" t="s">
        <v>23</v>
      </c>
      <c r="C36" s="84">
        <v>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0">
        <v>0</v>
      </c>
      <c r="K36" s="81">
        <v>0</v>
      </c>
    </row>
    <row r="37" spans="1:11">
      <c r="A37" s="82">
        <v>11</v>
      </c>
      <c r="B37" s="83" t="s">
        <v>24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0">
        <v>0</v>
      </c>
      <c r="K37" s="81">
        <v>0</v>
      </c>
    </row>
    <row r="38" ht="14.25" spans="1:11">
      <c r="A38" s="85">
        <v>12</v>
      </c>
      <c r="B38" s="86" t="s">
        <v>25</v>
      </c>
      <c r="C38" s="84">
        <v>0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4">
        <v>0</v>
      </c>
      <c r="J38" s="80">
        <v>0</v>
      </c>
      <c r="K38" s="81">
        <v>0</v>
      </c>
    </row>
    <row r="39" ht="15" spans="1:11">
      <c r="A39" s="87" t="s">
        <v>26</v>
      </c>
      <c r="B39" s="88"/>
      <c r="C39" s="88">
        <f>SUM(C27:C38)</f>
        <v>0</v>
      </c>
      <c r="D39" s="88">
        <f t="shared" ref="D39:K39" si="2">SUM(D27:D38)</f>
        <v>0</v>
      </c>
      <c r="E39" s="88">
        <f t="shared" si="2"/>
        <v>0</v>
      </c>
      <c r="F39" s="88">
        <f t="shared" si="2"/>
        <v>0</v>
      </c>
      <c r="G39" s="88">
        <f t="shared" si="2"/>
        <v>0</v>
      </c>
      <c r="H39" s="88">
        <f t="shared" si="2"/>
        <v>0</v>
      </c>
      <c r="I39" s="88">
        <f t="shared" si="2"/>
        <v>0</v>
      </c>
      <c r="J39" s="89">
        <f t="shared" ref="J39" si="3">SUM(J27:J38)</f>
        <v>0</v>
      </c>
      <c r="K39" s="90">
        <f t="shared" si="2"/>
        <v>0</v>
      </c>
    </row>
    <row r="40" ht="15"/>
    <row r="41" ht="15" spans="1:11">
      <c r="A41" s="3" t="s">
        <v>28</v>
      </c>
      <c r="B41" s="4"/>
      <c r="C41" s="4"/>
      <c r="D41" s="4"/>
      <c r="E41" s="4"/>
      <c r="F41" s="4"/>
      <c r="G41" s="4"/>
      <c r="H41" s="4"/>
      <c r="I41" s="4"/>
      <c r="J41" s="4"/>
      <c r="K41" s="5"/>
    </row>
    <row r="42" ht="14.25" spans="1:11">
      <c r="A42" s="56" t="s">
        <v>4</v>
      </c>
      <c r="B42" s="57" t="s">
        <v>5</v>
      </c>
      <c r="C42" s="58" t="s">
        <v>34</v>
      </c>
      <c r="D42" s="58" t="s">
        <v>35</v>
      </c>
      <c r="E42" s="59" t="s">
        <v>36</v>
      </c>
      <c r="F42" s="60"/>
      <c r="G42" s="60"/>
      <c r="H42" s="61"/>
      <c r="I42" s="62" t="s">
        <v>38</v>
      </c>
      <c r="J42" s="63"/>
      <c r="K42" s="64"/>
    </row>
    <row r="43" spans="1:11">
      <c r="A43" s="65"/>
      <c r="B43" s="66"/>
      <c r="C43" s="66"/>
      <c r="D43" s="66"/>
      <c r="E43" s="67" t="s">
        <v>39</v>
      </c>
      <c r="F43" s="68"/>
      <c r="G43" s="67" t="s">
        <v>40</v>
      </c>
      <c r="H43" s="68"/>
      <c r="I43" s="69"/>
      <c r="J43" s="70"/>
      <c r="K43" s="71"/>
    </row>
    <row r="44" ht="14.25" spans="1:11">
      <c r="A44" s="72"/>
      <c r="B44" s="73"/>
      <c r="C44" s="74"/>
      <c r="D44" s="74"/>
      <c r="E44" s="75" t="s">
        <v>41</v>
      </c>
      <c r="F44" s="74" t="s">
        <v>42</v>
      </c>
      <c r="G44" s="75" t="s">
        <v>41</v>
      </c>
      <c r="H44" s="74" t="s">
        <v>42</v>
      </c>
      <c r="I44" s="74" t="s">
        <v>43</v>
      </c>
      <c r="J44" s="75" t="s">
        <v>44</v>
      </c>
      <c r="K44" s="76" t="s">
        <v>45</v>
      </c>
    </row>
    <row r="45" ht="14.25" spans="1:11">
      <c r="A45" s="77">
        <v>1</v>
      </c>
      <c r="B45" s="78" t="s">
        <v>14</v>
      </c>
      <c r="C45" s="79">
        <v>0</v>
      </c>
      <c r="D45" s="79">
        <v>0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  <c r="J45" s="80">
        <v>0</v>
      </c>
      <c r="K45" s="81">
        <v>0</v>
      </c>
    </row>
    <row r="46" spans="1:11">
      <c r="A46" s="82">
        <v>2</v>
      </c>
      <c r="B46" s="83" t="s">
        <v>15</v>
      </c>
      <c r="C46" s="84">
        <v>0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0">
        <v>0</v>
      </c>
      <c r="K46" s="81">
        <v>0</v>
      </c>
    </row>
    <row r="47" spans="1:11">
      <c r="A47" s="82">
        <v>3</v>
      </c>
      <c r="B47" s="83" t="s">
        <v>16</v>
      </c>
      <c r="C47" s="84">
        <v>0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80">
        <v>0</v>
      </c>
      <c r="K47" s="81">
        <v>0</v>
      </c>
    </row>
    <row r="48" spans="1:11">
      <c r="A48" s="82">
        <v>4</v>
      </c>
      <c r="B48" s="83" t="s">
        <v>17</v>
      </c>
      <c r="C48" s="84">
        <v>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80">
        <v>0</v>
      </c>
      <c r="K48" s="81">
        <v>0</v>
      </c>
    </row>
    <row r="49" spans="1:11">
      <c r="A49" s="82">
        <v>5</v>
      </c>
      <c r="B49" s="83" t="s">
        <v>18</v>
      </c>
      <c r="C49" s="84">
        <v>0</v>
      </c>
      <c r="D49" s="84">
        <v>0</v>
      </c>
      <c r="E49" s="84">
        <v>0</v>
      </c>
      <c r="F49" s="84">
        <v>0</v>
      </c>
      <c r="G49" s="84">
        <v>0</v>
      </c>
      <c r="H49" s="84">
        <v>0</v>
      </c>
      <c r="I49" s="84">
        <v>0</v>
      </c>
      <c r="J49" s="80">
        <v>0</v>
      </c>
      <c r="K49" s="81">
        <v>0</v>
      </c>
    </row>
    <row r="50" spans="1:11">
      <c r="A50" s="82">
        <v>6</v>
      </c>
      <c r="B50" s="83" t="s">
        <v>19</v>
      </c>
      <c r="C50" s="84">
        <v>0</v>
      </c>
      <c r="D50" s="84">
        <v>0</v>
      </c>
      <c r="E50" s="84">
        <v>0</v>
      </c>
      <c r="F50" s="84">
        <v>0</v>
      </c>
      <c r="G50" s="84">
        <v>0</v>
      </c>
      <c r="H50" s="84">
        <v>0</v>
      </c>
      <c r="I50" s="84">
        <v>0</v>
      </c>
      <c r="J50" s="80">
        <v>0</v>
      </c>
      <c r="K50" s="81">
        <v>0</v>
      </c>
    </row>
    <row r="51" spans="1:11">
      <c r="A51" s="82">
        <v>7</v>
      </c>
      <c r="B51" s="83" t="s">
        <v>20</v>
      </c>
      <c r="C51" s="84">
        <v>0</v>
      </c>
      <c r="D51" s="84">
        <v>0</v>
      </c>
      <c r="E51" s="84">
        <v>0</v>
      </c>
      <c r="F51" s="84">
        <v>0</v>
      </c>
      <c r="G51" s="84">
        <v>0</v>
      </c>
      <c r="H51" s="84">
        <v>0</v>
      </c>
      <c r="I51" s="84">
        <v>0</v>
      </c>
      <c r="J51" s="80">
        <v>0</v>
      </c>
      <c r="K51" s="81">
        <v>0</v>
      </c>
    </row>
    <row r="52" spans="1:11">
      <c r="A52" s="82">
        <v>8</v>
      </c>
      <c r="B52" s="83" t="s">
        <v>21</v>
      </c>
      <c r="C52" s="84">
        <v>0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80">
        <v>0</v>
      </c>
      <c r="K52" s="81">
        <v>0</v>
      </c>
    </row>
    <row r="53" spans="1:11">
      <c r="A53" s="82">
        <v>9</v>
      </c>
      <c r="B53" s="83" t="s">
        <v>22</v>
      </c>
      <c r="C53" s="84">
        <v>0</v>
      </c>
      <c r="D53" s="84">
        <v>0</v>
      </c>
      <c r="E53" s="84">
        <v>0</v>
      </c>
      <c r="F53" s="84">
        <v>0</v>
      </c>
      <c r="G53" s="84">
        <v>0</v>
      </c>
      <c r="H53" s="84">
        <v>0</v>
      </c>
      <c r="I53" s="84">
        <v>0</v>
      </c>
      <c r="J53" s="80">
        <v>0</v>
      </c>
      <c r="K53" s="81">
        <v>0</v>
      </c>
    </row>
    <row r="54" spans="1:11">
      <c r="A54" s="82">
        <v>10</v>
      </c>
      <c r="B54" s="83" t="s">
        <v>23</v>
      </c>
      <c r="C54" s="84">
        <v>0</v>
      </c>
      <c r="D54" s="84">
        <v>0</v>
      </c>
      <c r="E54" s="84">
        <v>0</v>
      </c>
      <c r="F54" s="84">
        <v>0</v>
      </c>
      <c r="G54" s="84">
        <v>0</v>
      </c>
      <c r="H54" s="84">
        <v>0</v>
      </c>
      <c r="I54" s="84">
        <v>0</v>
      </c>
      <c r="J54" s="80">
        <v>0</v>
      </c>
      <c r="K54" s="81">
        <v>0</v>
      </c>
    </row>
    <row r="55" spans="1:11">
      <c r="A55" s="82">
        <v>11</v>
      </c>
      <c r="B55" s="83" t="s">
        <v>24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0">
        <v>0</v>
      </c>
      <c r="K55" s="81">
        <v>0</v>
      </c>
    </row>
    <row r="56" ht="14.25" spans="1:11">
      <c r="A56" s="85">
        <v>12</v>
      </c>
      <c r="B56" s="86" t="s">
        <v>25</v>
      </c>
      <c r="C56" s="84">
        <v>0</v>
      </c>
      <c r="D56" s="84">
        <v>0</v>
      </c>
      <c r="E56" s="84">
        <v>0</v>
      </c>
      <c r="F56" s="84">
        <v>0</v>
      </c>
      <c r="G56" s="84">
        <v>0</v>
      </c>
      <c r="H56" s="84">
        <v>0</v>
      </c>
      <c r="I56" s="84">
        <v>0</v>
      </c>
      <c r="J56" s="80">
        <v>0</v>
      </c>
      <c r="K56" s="81">
        <v>0</v>
      </c>
    </row>
    <row r="57" ht="15" spans="1:11">
      <c r="A57" s="87" t="s">
        <v>26</v>
      </c>
      <c r="B57" s="88"/>
      <c r="C57" s="88">
        <f>SUM(C45:C56)</f>
        <v>0</v>
      </c>
      <c r="D57" s="88">
        <f t="shared" ref="D57:K57" si="4">SUM(D45:D56)</f>
        <v>0</v>
      </c>
      <c r="E57" s="88">
        <f t="shared" si="4"/>
        <v>0</v>
      </c>
      <c r="F57" s="88">
        <f t="shared" si="4"/>
        <v>0</v>
      </c>
      <c r="G57" s="88">
        <f t="shared" si="4"/>
        <v>0</v>
      </c>
      <c r="H57" s="88">
        <f t="shared" si="4"/>
        <v>0</v>
      </c>
      <c r="I57" s="88">
        <f t="shared" si="4"/>
        <v>0</v>
      </c>
      <c r="J57" s="89">
        <f t="shared" ref="J57" si="5">SUM(J45:J56)</f>
        <v>0</v>
      </c>
      <c r="K57" s="90">
        <f t="shared" si="4"/>
        <v>0</v>
      </c>
    </row>
    <row r="58" ht="15"/>
    <row r="59" ht="15" spans="1:11">
      <c r="A59" s="3" t="s">
        <v>29</v>
      </c>
      <c r="B59" s="4"/>
      <c r="C59" s="4"/>
      <c r="D59" s="4"/>
      <c r="E59" s="4"/>
      <c r="F59" s="4"/>
      <c r="G59" s="4"/>
      <c r="H59" s="4"/>
      <c r="I59" s="4"/>
      <c r="J59" s="4"/>
      <c r="K59" s="5"/>
    </row>
    <row r="60" ht="14.25" spans="1:11">
      <c r="A60" s="56" t="s">
        <v>4</v>
      </c>
      <c r="B60" s="57" t="s">
        <v>5</v>
      </c>
      <c r="C60" s="58" t="s">
        <v>34</v>
      </c>
      <c r="D60" s="58" t="s">
        <v>35</v>
      </c>
      <c r="E60" s="59" t="s">
        <v>36</v>
      </c>
      <c r="F60" s="60"/>
      <c r="G60" s="60"/>
      <c r="H60" s="61"/>
      <c r="I60" s="62" t="s">
        <v>38</v>
      </c>
      <c r="J60" s="63"/>
      <c r="K60" s="64"/>
    </row>
    <row r="61" spans="1:11">
      <c r="A61" s="65"/>
      <c r="B61" s="66"/>
      <c r="C61" s="66"/>
      <c r="D61" s="66"/>
      <c r="E61" s="67" t="s">
        <v>39</v>
      </c>
      <c r="F61" s="68"/>
      <c r="G61" s="67" t="s">
        <v>40</v>
      </c>
      <c r="H61" s="68"/>
      <c r="I61" s="69"/>
      <c r="J61" s="70"/>
      <c r="K61" s="71"/>
    </row>
    <row r="62" ht="14.25" spans="1:11">
      <c r="A62" s="72"/>
      <c r="B62" s="73"/>
      <c r="C62" s="74"/>
      <c r="D62" s="74"/>
      <c r="E62" s="75" t="s">
        <v>41</v>
      </c>
      <c r="F62" s="74" t="s">
        <v>42</v>
      </c>
      <c r="G62" s="75" t="s">
        <v>41</v>
      </c>
      <c r="H62" s="74" t="s">
        <v>42</v>
      </c>
      <c r="I62" s="74" t="s">
        <v>43</v>
      </c>
      <c r="J62" s="75" t="s">
        <v>44</v>
      </c>
      <c r="K62" s="76" t="s">
        <v>45</v>
      </c>
    </row>
    <row r="63" ht="14.25" spans="1:11">
      <c r="A63" s="77">
        <v>1</v>
      </c>
      <c r="B63" s="78" t="s">
        <v>14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80">
        <v>0</v>
      </c>
      <c r="K63" s="81">
        <v>0</v>
      </c>
    </row>
    <row r="64" spans="1:11">
      <c r="A64" s="82">
        <v>2</v>
      </c>
      <c r="B64" s="83" t="s">
        <v>15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0">
        <v>0</v>
      </c>
      <c r="K64" s="81">
        <v>0</v>
      </c>
    </row>
    <row r="65" spans="1:11">
      <c r="A65" s="82">
        <v>3</v>
      </c>
      <c r="B65" s="83" t="s">
        <v>16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0">
        <v>0</v>
      </c>
      <c r="K65" s="81">
        <v>0</v>
      </c>
    </row>
    <row r="66" spans="1:11">
      <c r="A66" s="82">
        <v>4</v>
      </c>
      <c r="B66" s="83" t="s">
        <v>17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0">
        <v>0</v>
      </c>
      <c r="K66" s="81">
        <v>0</v>
      </c>
    </row>
    <row r="67" spans="1:11">
      <c r="A67" s="82">
        <v>5</v>
      </c>
      <c r="B67" s="83" t="s">
        <v>18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0">
        <v>0</v>
      </c>
      <c r="K67" s="81">
        <v>0</v>
      </c>
    </row>
    <row r="68" spans="1:11">
      <c r="A68" s="82">
        <v>6</v>
      </c>
      <c r="B68" s="83" t="s">
        <v>19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0">
        <v>0</v>
      </c>
      <c r="K68" s="81">
        <v>0</v>
      </c>
    </row>
    <row r="69" spans="1:11">
      <c r="A69" s="82">
        <v>7</v>
      </c>
      <c r="B69" s="83" t="s">
        <v>20</v>
      </c>
      <c r="C69" s="84">
        <v>0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80">
        <v>0</v>
      </c>
      <c r="K69" s="81">
        <v>0</v>
      </c>
    </row>
    <row r="70" spans="1:11">
      <c r="A70" s="82">
        <v>8</v>
      </c>
      <c r="B70" s="83" t="s">
        <v>21</v>
      </c>
      <c r="C70" s="84">
        <v>0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0">
        <v>0</v>
      </c>
      <c r="K70" s="81">
        <v>0</v>
      </c>
    </row>
    <row r="71" spans="1:11">
      <c r="A71" s="82">
        <v>9</v>
      </c>
      <c r="B71" s="83" t="s">
        <v>22</v>
      </c>
      <c r="C71" s="84">
        <v>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0">
        <v>0</v>
      </c>
      <c r="K71" s="81">
        <v>0</v>
      </c>
    </row>
    <row r="72" spans="1:11">
      <c r="A72" s="82">
        <v>10</v>
      </c>
      <c r="B72" s="83" t="s">
        <v>23</v>
      </c>
      <c r="C72" s="84">
        <v>0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4">
        <v>0</v>
      </c>
      <c r="J72" s="80">
        <v>0</v>
      </c>
      <c r="K72" s="81">
        <v>0</v>
      </c>
    </row>
    <row r="73" spans="1:11">
      <c r="A73" s="82">
        <v>11</v>
      </c>
      <c r="B73" s="83" t="s">
        <v>24</v>
      </c>
      <c r="C73" s="84">
        <v>0</v>
      </c>
      <c r="D73" s="84">
        <v>0</v>
      </c>
      <c r="E73" s="84">
        <v>0</v>
      </c>
      <c r="F73" s="84">
        <v>0</v>
      </c>
      <c r="G73" s="84">
        <v>0</v>
      </c>
      <c r="H73" s="84">
        <v>0</v>
      </c>
      <c r="I73" s="84">
        <v>0</v>
      </c>
      <c r="J73" s="80">
        <v>0</v>
      </c>
      <c r="K73" s="81">
        <v>0</v>
      </c>
    </row>
    <row r="74" ht="14.25" spans="1:11">
      <c r="A74" s="85">
        <v>12</v>
      </c>
      <c r="B74" s="86" t="s">
        <v>25</v>
      </c>
      <c r="C74" s="84">
        <v>0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0">
        <v>0</v>
      </c>
      <c r="K74" s="81">
        <v>0</v>
      </c>
    </row>
    <row r="75" ht="15" spans="1:11">
      <c r="A75" s="87" t="s">
        <v>26</v>
      </c>
      <c r="B75" s="88"/>
      <c r="C75" s="88">
        <f>SUM(C63:C74)</f>
        <v>0</v>
      </c>
      <c r="D75" s="88">
        <f t="shared" ref="D75:K75" si="6">SUM(D63:D74)</f>
        <v>0</v>
      </c>
      <c r="E75" s="88">
        <f t="shared" si="6"/>
        <v>0</v>
      </c>
      <c r="F75" s="88">
        <f t="shared" si="6"/>
        <v>0</v>
      </c>
      <c r="G75" s="88">
        <f t="shared" si="6"/>
        <v>0</v>
      </c>
      <c r="H75" s="88">
        <f t="shared" si="6"/>
        <v>0</v>
      </c>
      <c r="I75" s="88">
        <f t="shared" si="6"/>
        <v>0</v>
      </c>
      <c r="J75" s="89">
        <f t="shared" ref="J75" si="7">SUM(J63:J74)</f>
        <v>0</v>
      </c>
      <c r="K75" s="90">
        <f t="shared" si="6"/>
        <v>0</v>
      </c>
    </row>
    <row r="76" ht="15"/>
    <row r="77" ht="15" spans="1:11">
      <c r="A77" s="3" t="s">
        <v>30</v>
      </c>
      <c r="B77" s="4"/>
      <c r="C77" s="4"/>
      <c r="D77" s="4"/>
      <c r="E77" s="4"/>
      <c r="F77" s="4"/>
      <c r="G77" s="4"/>
      <c r="H77" s="4"/>
      <c r="I77" s="4"/>
      <c r="J77" s="4"/>
      <c r="K77" s="5"/>
    </row>
    <row r="78" ht="14.25" spans="1:11">
      <c r="A78" s="56" t="s">
        <v>4</v>
      </c>
      <c r="B78" s="57" t="s">
        <v>5</v>
      </c>
      <c r="C78" s="58" t="s">
        <v>34</v>
      </c>
      <c r="D78" s="58" t="s">
        <v>35</v>
      </c>
      <c r="E78" s="59" t="s">
        <v>36</v>
      </c>
      <c r="F78" s="60"/>
      <c r="G78" s="60"/>
      <c r="H78" s="61"/>
      <c r="I78" s="62" t="s">
        <v>38</v>
      </c>
      <c r="J78" s="63"/>
      <c r="K78" s="64"/>
    </row>
    <row r="79" spans="1:11">
      <c r="A79" s="65"/>
      <c r="B79" s="66"/>
      <c r="C79" s="66"/>
      <c r="D79" s="66"/>
      <c r="E79" s="67" t="s">
        <v>39</v>
      </c>
      <c r="F79" s="68"/>
      <c r="G79" s="67" t="s">
        <v>40</v>
      </c>
      <c r="H79" s="68"/>
      <c r="I79" s="69"/>
      <c r="J79" s="70"/>
      <c r="K79" s="71"/>
    </row>
    <row r="80" ht="14.25" spans="1:11">
      <c r="A80" s="72"/>
      <c r="B80" s="73"/>
      <c r="C80" s="74"/>
      <c r="D80" s="74"/>
      <c r="E80" s="75" t="s">
        <v>41</v>
      </c>
      <c r="F80" s="74" t="s">
        <v>42</v>
      </c>
      <c r="G80" s="75" t="s">
        <v>41</v>
      </c>
      <c r="H80" s="74" t="s">
        <v>42</v>
      </c>
      <c r="I80" s="74" t="s">
        <v>43</v>
      </c>
      <c r="J80" s="75" t="s">
        <v>44</v>
      </c>
      <c r="K80" s="76" t="s">
        <v>45</v>
      </c>
    </row>
    <row r="81" ht="14.25" spans="1:11">
      <c r="A81" s="77">
        <v>1</v>
      </c>
      <c r="B81" s="78" t="s">
        <v>14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80">
        <v>0</v>
      </c>
      <c r="K81" s="81">
        <v>0</v>
      </c>
    </row>
    <row r="82" spans="1:11">
      <c r="A82" s="82">
        <v>2</v>
      </c>
      <c r="B82" s="83" t="s">
        <v>15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4">
        <v>0</v>
      </c>
      <c r="J82" s="80">
        <v>0</v>
      </c>
      <c r="K82" s="81">
        <v>0</v>
      </c>
    </row>
    <row r="83" spans="1:11">
      <c r="A83" s="82">
        <v>3</v>
      </c>
      <c r="B83" s="83" t="s">
        <v>16</v>
      </c>
      <c r="C83" s="84">
        <v>0</v>
      </c>
      <c r="D83" s="84">
        <v>0</v>
      </c>
      <c r="E83" s="84">
        <v>0</v>
      </c>
      <c r="F83" s="84">
        <v>0</v>
      </c>
      <c r="G83" s="84">
        <v>0</v>
      </c>
      <c r="H83" s="84">
        <v>0</v>
      </c>
      <c r="I83" s="84">
        <v>0</v>
      </c>
      <c r="J83" s="80">
        <v>0</v>
      </c>
      <c r="K83" s="81">
        <v>0</v>
      </c>
    </row>
    <row r="84" spans="1:11">
      <c r="A84" s="82">
        <v>4</v>
      </c>
      <c r="B84" s="83" t="s">
        <v>17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0">
        <v>0</v>
      </c>
      <c r="K84" s="81">
        <v>0</v>
      </c>
    </row>
    <row r="85" spans="1:11">
      <c r="A85" s="82">
        <v>5</v>
      </c>
      <c r="B85" s="83" t="s">
        <v>18</v>
      </c>
      <c r="C85" s="84">
        <v>0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4">
        <v>0</v>
      </c>
      <c r="J85" s="80">
        <v>0</v>
      </c>
      <c r="K85" s="81">
        <v>0</v>
      </c>
    </row>
    <row r="86" spans="1:11">
      <c r="A86" s="82">
        <v>6</v>
      </c>
      <c r="B86" s="83" t="s">
        <v>19</v>
      </c>
      <c r="C86" s="84">
        <v>0</v>
      </c>
      <c r="D86" s="84">
        <v>0</v>
      </c>
      <c r="E86" s="84">
        <v>0</v>
      </c>
      <c r="F86" s="84">
        <v>0</v>
      </c>
      <c r="G86" s="84">
        <v>0</v>
      </c>
      <c r="H86" s="84">
        <v>0</v>
      </c>
      <c r="I86" s="84">
        <v>0</v>
      </c>
      <c r="J86" s="80">
        <v>0</v>
      </c>
      <c r="K86" s="81">
        <v>0</v>
      </c>
    </row>
    <row r="87" spans="1:11">
      <c r="A87" s="82">
        <v>7</v>
      </c>
      <c r="B87" s="83" t="s">
        <v>20</v>
      </c>
      <c r="C87" s="84">
        <v>0</v>
      </c>
      <c r="D87" s="84">
        <v>0</v>
      </c>
      <c r="E87" s="84">
        <v>0</v>
      </c>
      <c r="F87" s="84">
        <v>0</v>
      </c>
      <c r="G87" s="84">
        <v>0</v>
      </c>
      <c r="H87" s="84">
        <v>0</v>
      </c>
      <c r="I87" s="84">
        <v>0</v>
      </c>
      <c r="J87" s="80">
        <v>0</v>
      </c>
      <c r="K87" s="81">
        <v>0</v>
      </c>
    </row>
    <row r="88" spans="1:11">
      <c r="A88" s="82">
        <v>8</v>
      </c>
      <c r="B88" s="83" t="s">
        <v>21</v>
      </c>
      <c r="C88" s="84">
        <v>0</v>
      </c>
      <c r="D88" s="84">
        <v>0</v>
      </c>
      <c r="E88" s="84">
        <v>0</v>
      </c>
      <c r="F88" s="84">
        <v>0</v>
      </c>
      <c r="G88" s="84">
        <v>0</v>
      </c>
      <c r="H88" s="84">
        <v>0</v>
      </c>
      <c r="I88" s="84">
        <v>0</v>
      </c>
      <c r="J88" s="80">
        <v>0</v>
      </c>
      <c r="K88" s="81">
        <v>0</v>
      </c>
    </row>
    <row r="89" spans="1:11">
      <c r="A89" s="82">
        <v>9</v>
      </c>
      <c r="B89" s="83" t="s">
        <v>22</v>
      </c>
      <c r="C89" s="84">
        <v>0</v>
      </c>
      <c r="D89" s="84">
        <v>0</v>
      </c>
      <c r="E89" s="84">
        <v>0</v>
      </c>
      <c r="F89" s="84">
        <v>0</v>
      </c>
      <c r="G89" s="84">
        <v>0</v>
      </c>
      <c r="H89" s="84">
        <v>0</v>
      </c>
      <c r="I89" s="84">
        <v>0</v>
      </c>
      <c r="J89" s="80">
        <v>0</v>
      </c>
      <c r="K89" s="81">
        <v>0</v>
      </c>
    </row>
    <row r="90" spans="1:11">
      <c r="A90" s="82">
        <v>10</v>
      </c>
      <c r="B90" s="83" t="s">
        <v>23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0">
        <v>0</v>
      </c>
      <c r="K90" s="81">
        <v>0</v>
      </c>
    </row>
    <row r="91" spans="1:11">
      <c r="A91" s="82">
        <v>11</v>
      </c>
      <c r="B91" s="83" t="s">
        <v>24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0">
        <v>0</v>
      </c>
      <c r="K91" s="81">
        <v>0</v>
      </c>
    </row>
    <row r="92" ht="14.25" spans="1:11">
      <c r="A92" s="85">
        <v>12</v>
      </c>
      <c r="B92" s="86" t="s">
        <v>25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0">
        <v>0</v>
      </c>
      <c r="K92" s="81">
        <v>0</v>
      </c>
    </row>
    <row r="93" ht="15" spans="1:11">
      <c r="A93" s="87" t="s">
        <v>26</v>
      </c>
      <c r="B93" s="88"/>
      <c r="C93" s="88">
        <f>SUM(C81:C92)</f>
        <v>0</v>
      </c>
      <c r="D93" s="88">
        <f t="shared" ref="D93:K93" si="8">SUM(D81:D92)</f>
        <v>0</v>
      </c>
      <c r="E93" s="88">
        <f t="shared" si="8"/>
        <v>0</v>
      </c>
      <c r="F93" s="88">
        <f t="shared" si="8"/>
        <v>0</v>
      </c>
      <c r="G93" s="88">
        <f t="shared" si="8"/>
        <v>0</v>
      </c>
      <c r="H93" s="88">
        <f t="shared" si="8"/>
        <v>0</v>
      </c>
      <c r="I93" s="88">
        <f t="shared" si="8"/>
        <v>0</v>
      </c>
      <c r="J93" s="89">
        <f t="shared" ref="J93" si="9">SUM(J81:J92)</f>
        <v>0</v>
      </c>
      <c r="K93" s="90">
        <f t="shared" si="8"/>
        <v>0</v>
      </c>
    </row>
    <row r="94" ht="15"/>
    <row r="95" ht="15" spans="1:11">
      <c r="A95" s="3" t="s">
        <v>31</v>
      </c>
      <c r="B95" s="4"/>
      <c r="C95" s="4"/>
      <c r="D95" s="4"/>
      <c r="E95" s="4"/>
      <c r="F95" s="4"/>
      <c r="G95" s="4"/>
      <c r="H95" s="4"/>
      <c r="I95" s="4"/>
      <c r="J95" s="4"/>
      <c r="K95" s="5"/>
    </row>
    <row r="96" ht="14.25" spans="1:11">
      <c r="A96" s="56" t="s">
        <v>4</v>
      </c>
      <c r="B96" s="57" t="s">
        <v>5</v>
      </c>
      <c r="C96" s="58" t="s">
        <v>34</v>
      </c>
      <c r="D96" s="58" t="s">
        <v>35</v>
      </c>
      <c r="E96" s="59" t="s">
        <v>36</v>
      </c>
      <c r="F96" s="60"/>
      <c r="G96" s="60"/>
      <c r="H96" s="61"/>
      <c r="I96" s="62" t="s">
        <v>38</v>
      </c>
      <c r="J96" s="63"/>
      <c r="K96" s="64"/>
    </row>
    <row r="97" spans="1:11">
      <c r="A97" s="65"/>
      <c r="B97" s="66"/>
      <c r="C97" s="66"/>
      <c r="D97" s="66"/>
      <c r="E97" s="67" t="s">
        <v>39</v>
      </c>
      <c r="F97" s="68"/>
      <c r="G97" s="67" t="s">
        <v>40</v>
      </c>
      <c r="H97" s="68"/>
      <c r="I97" s="69"/>
      <c r="J97" s="70"/>
      <c r="K97" s="71"/>
    </row>
    <row r="98" ht="14.25" spans="1:11">
      <c r="A98" s="72"/>
      <c r="B98" s="73"/>
      <c r="C98" s="74"/>
      <c r="D98" s="74"/>
      <c r="E98" s="75" t="s">
        <v>41</v>
      </c>
      <c r="F98" s="74" t="s">
        <v>42</v>
      </c>
      <c r="G98" s="75" t="s">
        <v>41</v>
      </c>
      <c r="H98" s="74" t="s">
        <v>42</v>
      </c>
      <c r="I98" s="74" t="s">
        <v>43</v>
      </c>
      <c r="J98" s="75" t="s">
        <v>44</v>
      </c>
      <c r="K98" s="76" t="s">
        <v>45</v>
      </c>
    </row>
    <row r="99" ht="14.25" spans="1:11">
      <c r="A99" s="77">
        <v>1</v>
      </c>
      <c r="B99" s="78" t="s">
        <v>14</v>
      </c>
      <c r="C99" s="79">
        <v>0</v>
      </c>
      <c r="D99" s="79">
        <v>0</v>
      </c>
      <c r="E99" s="79">
        <v>0</v>
      </c>
      <c r="F99" s="79">
        <v>0</v>
      </c>
      <c r="G99" s="79">
        <v>0</v>
      </c>
      <c r="H99" s="79">
        <v>0</v>
      </c>
      <c r="I99" s="79">
        <v>0</v>
      </c>
      <c r="J99" s="80">
        <v>0</v>
      </c>
      <c r="K99" s="81">
        <v>0</v>
      </c>
    </row>
    <row r="100" spans="1:11">
      <c r="A100" s="82">
        <v>2</v>
      </c>
      <c r="B100" s="83" t="s">
        <v>15</v>
      </c>
      <c r="C100" s="84">
        <v>0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80">
        <v>0</v>
      </c>
      <c r="K100" s="81">
        <v>0</v>
      </c>
    </row>
    <row r="101" spans="1:11">
      <c r="A101" s="82">
        <v>3</v>
      </c>
      <c r="B101" s="83" t="s">
        <v>16</v>
      </c>
      <c r="C101" s="84">
        <v>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0">
        <v>0</v>
      </c>
      <c r="K101" s="81">
        <v>0</v>
      </c>
    </row>
    <row r="102" spans="1:11">
      <c r="A102" s="82">
        <v>4</v>
      </c>
      <c r="B102" s="83" t="s">
        <v>17</v>
      </c>
      <c r="C102" s="84">
        <v>0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4">
        <v>0</v>
      </c>
      <c r="J102" s="80">
        <v>0</v>
      </c>
      <c r="K102" s="81">
        <v>0</v>
      </c>
    </row>
    <row r="103" spans="1:11">
      <c r="A103" s="82">
        <v>5</v>
      </c>
      <c r="B103" s="83" t="s">
        <v>18</v>
      </c>
      <c r="C103" s="84">
        <v>0</v>
      </c>
      <c r="D103" s="84">
        <v>0</v>
      </c>
      <c r="E103" s="84">
        <v>0</v>
      </c>
      <c r="F103" s="84">
        <v>0</v>
      </c>
      <c r="G103" s="84">
        <v>0</v>
      </c>
      <c r="H103" s="84">
        <v>0</v>
      </c>
      <c r="I103" s="84">
        <v>0</v>
      </c>
      <c r="J103" s="80">
        <v>0</v>
      </c>
      <c r="K103" s="81">
        <v>0</v>
      </c>
    </row>
    <row r="104" spans="1:11">
      <c r="A104" s="82">
        <v>6</v>
      </c>
      <c r="B104" s="83" t="s">
        <v>19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0">
        <v>0</v>
      </c>
      <c r="K104" s="81">
        <v>0</v>
      </c>
    </row>
    <row r="105" spans="1:11">
      <c r="A105" s="82">
        <v>7</v>
      </c>
      <c r="B105" s="83" t="s">
        <v>20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0">
        <v>0</v>
      </c>
      <c r="K105" s="81">
        <v>0</v>
      </c>
    </row>
    <row r="106" spans="1:11">
      <c r="A106" s="82">
        <v>8</v>
      </c>
      <c r="B106" s="83" t="s">
        <v>21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0">
        <v>0</v>
      </c>
      <c r="K106" s="81">
        <v>0</v>
      </c>
    </row>
    <row r="107" spans="1:11">
      <c r="A107" s="82">
        <v>9</v>
      </c>
      <c r="B107" s="83" t="s">
        <v>22</v>
      </c>
      <c r="C107" s="84">
        <v>0</v>
      </c>
      <c r="D107" s="84">
        <v>0</v>
      </c>
      <c r="E107" s="84">
        <v>0</v>
      </c>
      <c r="F107" s="84">
        <v>0</v>
      </c>
      <c r="G107" s="84">
        <v>0</v>
      </c>
      <c r="H107" s="84">
        <v>0</v>
      </c>
      <c r="I107" s="84">
        <v>0</v>
      </c>
      <c r="J107" s="80">
        <v>0</v>
      </c>
      <c r="K107" s="81">
        <v>0</v>
      </c>
    </row>
    <row r="108" spans="1:11">
      <c r="A108" s="82">
        <v>10</v>
      </c>
      <c r="B108" s="83" t="s">
        <v>23</v>
      </c>
      <c r="C108" s="84">
        <v>0</v>
      </c>
      <c r="D108" s="84">
        <v>0</v>
      </c>
      <c r="E108" s="84">
        <v>0</v>
      </c>
      <c r="F108" s="84">
        <v>0</v>
      </c>
      <c r="G108" s="84">
        <v>0</v>
      </c>
      <c r="H108" s="84">
        <v>0</v>
      </c>
      <c r="I108" s="84">
        <v>0</v>
      </c>
      <c r="J108" s="80">
        <v>0</v>
      </c>
      <c r="K108" s="81">
        <v>0</v>
      </c>
    </row>
    <row r="109" spans="1:11">
      <c r="A109" s="82">
        <v>11</v>
      </c>
      <c r="B109" s="83" t="s">
        <v>24</v>
      </c>
      <c r="C109" s="84">
        <v>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0">
        <v>0</v>
      </c>
      <c r="K109" s="81">
        <v>0</v>
      </c>
    </row>
    <row r="110" ht="14.25" spans="1:11">
      <c r="A110" s="85">
        <v>12</v>
      </c>
      <c r="B110" s="86" t="s">
        <v>25</v>
      </c>
      <c r="C110" s="84">
        <v>0</v>
      </c>
      <c r="D110" s="84">
        <v>0</v>
      </c>
      <c r="E110" s="84">
        <v>0</v>
      </c>
      <c r="F110" s="84">
        <v>0</v>
      </c>
      <c r="G110" s="84">
        <v>0</v>
      </c>
      <c r="H110" s="84">
        <v>0</v>
      </c>
      <c r="I110" s="84">
        <v>0</v>
      </c>
      <c r="J110" s="80">
        <v>0</v>
      </c>
      <c r="K110" s="81">
        <v>0</v>
      </c>
    </row>
    <row r="111" ht="15" spans="1:11">
      <c r="A111" s="87" t="s">
        <v>26</v>
      </c>
      <c r="B111" s="88"/>
      <c r="C111" s="88">
        <f>SUM(C99:C110)</f>
        <v>0</v>
      </c>
      <c r="D111" s="88">
        <f t="shared" ref="D111:K111" si="10">SUM(D99:D110)</f>
        <v>0</v>
      </c>
      <c r="E111" s="88">
        <f t="shared" si="10"/>
        <v>0</v>
      </c>
      <c r="F111" s="88">
        <f t="shared" si="10"/>
        <v>0</v>
      </c>
      <c r="G111" s="88">
        <f t="shared" si="10"/>
        <v>0</v>
      </c>
      <c r="H111" s="88">
        <f t="shared" si="10"/>
        <v>0</v>
      </c>
      <c r="I111" s="88">
        <f t="shared" si="10"/>
        <v>0</v>
      </c>
      <c r="J111" s="89">
        <f t="shared" ref="J111" si="11">SUM(J99:J110)</f>
        <v>0</v>
      </c>
      <c r="K111" s="90">
        <f t="shared" si="10"/>
        <v>0</v>
      </c>
    </row>
    <row r="112" ht="15"/>
    <row r="113" ht="15" spans="1:11">
      <c r="A113" s="92" t="s">
        <v>46</v>
      </c>
      <c r="B113" s="93"/>
      <c r="C113" s="93">
        <f t="shared" ref="C113:K113" si="12">SUM(C21,C39,C57,C75,C93,C111)</f>
        <v>1</v>
      </c>
      <c r="D113" s="93">
        <f t="shared" si="12"/>
        <v>5602</v>
      </c>
      <c r="E113" s="93">
        <f t="shared" si="12"/>
        <v>0</v>
      </c>
      <c r="F113" s="93">
        <f t="shared" si="12"/>
        <v>0</v>
      </c>
      <c r="G113" s="93">
        <f t="shared" si="12"/>
        <v>0</v>
      </c>
      <c r="H113" s="93">
        <f t="shared" si="12"/>
        <v>0</v>
      </c>
      <c r="I113" s="93">
        <f t="shared" si="12"/>
        <v>0</v>
      </c>
      <c r="J113" s="94">
        <f t="shared" si="12"/>
        <v>0</v>
      </c>
      <c r="K113" s="95">
        <f t="shared" si="12"/>
        <v>100</v>
      </c>
    </row>
    <row r="114" ht="14.25"/>
  </sheetData>
  <mergeCells count="65">
    <mergeCell ref="A1:K1"/>
    <mergeCell ref="A2:K2"/>
    <mergeCell ref="A3:K3"/>
    <mergeCell ref="A5:K5"/>
    <mergeCell ref="E6:H6"/>
    <mergeCell ref="E7:F7"/>
    <mergeCell ref="G7:H7"/>
    <mergeCell ref="A21:B21"/>
    <mergeCell ref="A22:K22"/>
    <mergeCell ref="A23:K23"/>
    <mergeCell ref="E24:H24"/>
    <mergeCell ref="E25:F25"/>
    <mergeCell ref="G25:H25"/>
    <mergeCell ref="A39:B39"/>
    <mergeCell ref="A41:K41"/>
    <mergeCell ref="E42:H42"/>
    <mergeCell ref="E43:F43"/>
    <mergeCell ref="G43:H43"/>
    <mergeCell ref="A57:B57"/>
    <mergeCell ref="A59:K59"/>
    <mergeCell ref="E60:H60"/>
    <mergeCell ref="E61:F61"/>
    <mergeCell ref="G61:H61"/>
    <mergeCell ref="A75:B75"/>
    <mergeCell ref="A77:K77"/>
    <mergeCell ref="E78:H78"/>
    <mergeCell ref="E79:F79"/>
    <mergeCell ref="G79:H79"/>
    <mergeCell ref="A93:B93"/>
    <mergeCell ref="A95:K95"/>
    <mergeCell ref="E96:H96"/>
    <mergeCell ref="E97:F97"/>
    <mergeCell ref="G97:H97"/>
    <mergeCell ref="A111:B111"/>
    <mergeCell ref="A113:B113"/>
    <mergeCell ref="A6:A8"/>
    <mergeCell ref="A24:A26"/>
    <mergeCell ref="A42:A44"/>
    <mergeCell ref="A60:A62"/>
    <mergeCell ref="A78:A80"/>
    <mergeCell ref="A96:A98"/>
    <mergeCell ref="B6:B8"/>
    <mergeCell ref="B24:B26"/>
    <mergeCell ref="B42:B44"/>
    <mergeCell ref="B60:B62"/>
    <mergeCell ref="B78:B80"/>
    <mergeCell ref="B96:B98"/>
    <mergeCell ref="C6:C8"/>
    <mergeCell ref="C24:C26"/>
    <mergeCell ref="C42:C44"/>
    <mergeCell ref="C60:C62"/>
    <mergeCell ref="C78:C80"/>
    <mergeCell ref="C96:C98"/>
    <mergeCell ref="D6:D8"/>
    <mergeCell ref="D24:D26"/>
    <mergeCell ref="D42:D44"/>
    <mergeCell ref="D60:D62"/>
    <mergeCell ref="D78:D80"/>
    <mergeCell ref="D96:D98"/>
    <mergeCell ref="I78:K79"/>
    <mergeCell ref="I96:K97"/>
    <mergeCell ref="I42:K43"/>
    <mergeCell ref="I6:K7"/>
    <mergeCell ref="I60:K61"/>
    <mergeCell ref="I24:K25"/>
  </mergeCells>
  <printOptions horizontalCentered="1"/>
  <pageMargins left="0.5" right="0.25" top="0.75" bottom="0.75" header="0.3" footer="0.3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U114"/>
  <sheetViews>
    <sheetView tabSelected="1" zoomScale="130" zoomScaleNormal="130" showWhiteSpace="0" topLeftCell="A15" workbookViewId="0">
      <selection activeCell="K21" sqref="K21"/>
    </sheetView>
  </sheetViews>
  <sheetFormatPr defaultColWidth="9" defaultRowHeight="13.5"/>
  <cols>
    <col min="1" max="1" width="13.4380952380952" style="1" customWidth="1"/>
    <col min="2" max="21" width="8.55238095238095" style="1" customWidth="1"/>
    <col min="22" max="16384" width="9" style="1"/>
  </cols>
  <sheetData>
    <row r="1" spans="1:21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4.25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7.25" customHeight="1" spans="1:2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</row>
    <row r="6" ht="17.25" customHeight="1" spans="1:21">
      <c r="A6" s="6" t="s">
        <v>5</v>
      </c>
      <c r="B6" s="7" t="s">
        <v>55</v>
      </c>
      <c r="C6" s="8"/>
      <c r="D6" s="8"/>
      <c r="E6" s="8"/>
      <c r="F6" s="9"/>
      <c r="G6" s="7" t="s">
        <v>56</v>
      </c>
      <c r="H6" s="9"/>
      <c r="I6" s="7" t="s">
        <v>39</v>
      </c>
      <c r="J6" s="8"/>
      <c r="K6" s="8"/>
      <c r="L6" s="8"/>
      <c r="M6" s="9"/>
      <c r="N6" s="7" t="s">
        <v>40</v>
      </c>
      <c r="O6" s="8"/>
      <c r="P6" s="8"/>
      <c r="Q6" s="8"/>
      <c r="R6" s="9"/>
      <c r="S6" s="7" t="s">
        <v>38</v>
      </c>
      <c r="T6" s="8"/>
      <c r="U6" s="10"/>
    </row>
    <row r="7" ht="17.25" customHeight="1" spans="1:21">
      <c r="A7" s="11"/>
      <c r="B7" s="12" t="s">
        <v>57</v>
      </c>
      <c r="C7" s="12" t="s">
        <v>58</v>
      </c>
      <c r="D7" s="13" t="s">
        <v>59</v>
      </c>
      <c r="E7" s="13" t="s">
        <v>47</v>
      </c>
      <c r="F7" s="13" t="s">
        <v>60</v>
      </c>
      <c r="G7" s="12" t="s">
        <v>61</v>
      </c>
      <c r="H7" s="13" t="s">
        <v>62</v>
      </c>
      <c r="I7" s="14" t="s">
        <v>63</v>
      </c>
      <c r="J7" s="15"/>
      <c r="K7" s="12" t="s">
        <v>64</v>
      </c>
      <c r="L7" s="14" t="s">
        <v>65</v>
      </c>
      <c r="M7" s="15"/>
      <c r="N7" s="14" t="s">
        <v>63</v>
      </c>
      <c r="O7" s="15"/>
      <c r="P7" s="12" t="s">
        <v>64</v>
      </c>
      <c r="Q7" s="14" t="s">
        <v>65</v>
      </c>
      <c r="R7" s="15"/>
      <c r="S7" s="16" t="s">
        <v>43</v>
      </c>
      <c r="T7" s="14" t="s">
        <v>44</v>
      </c>
      <c r="U7" s="17" t="s">
        <v>45</v>
      </c>
    </row>
    <row r="8" ht="17.25" customHeight="1" spans="1:21">
      <c r="A8" s="18"/>
      <c r="B8" s="19"/>
      <c r="C8" s="19"/>
      <c r="D8" s="20"/>
      <c r="E8" s="20"/>
      <c r="F8" s="20"/>
      <c r="G8" s="19"/>
      <c r="H8" s="20"/>
      <c r="I8" s="20" t="s">
        <v>41</v>
      </c>
      <c r="J8" s="20" t="s">
        <v>42</v>
      </c>
      <c r="K8" s="19"/>
      <c r="L8" s="20" t="s">
        <v>48</v>
      </c>
      <c r="M8" s="20" t="s">
        <v>51</v>
      </c>
      <c r="N8" s="20" t="s">
        <v>41</v>
      </c>
      <c r="O8" s="20" t="s">
        <v>42</v>
      </c>
      <c r="P8" s="19"/>
      <c r="Q8" s="20" t="s">
        <v>48</v>
      </c>
      <c r="R8" s="20" t="s">
        <v>51</v>
      </c>
      <c r="S8" s="20" t="s">
        <v>66</v>
      </c>
      <c r="T8" s="21" t="s">
        <v>67</v>
      </c>
      <c r="U8" s="22" t="s">
        <v>67</v>
      </c>
    </row>
    <row r="9" ht="17.25" customHeight="1" spans="1:21">
      <c r="A9" s="23" t="s">
        <v>14</v>
      </c>
      <c r="B9" s="24">
        <f>SUM('ANGKUTAN LAUT LUAR NEGERI'!C9)</f>
        <v>1</v>
      </c>
      <c r="C9" s="24">
        <f>SUM('ANGKUTAN LAUT DALAM NEGERI'!C9)</f>
        <v>3</v>
      </c>
      <c r="D9" s="24">
        <f>SUM(PELRA!C9)</f>
        <v>10</v>
      </c>
      <c r="E9" s="24">
        <f>SUM(PERINTIS!C9)</f>
        <v>11</v>
      </c>
      <c r="F9" s="24">
        <f>SUM('ANGKUTAN PENYEBRANGAN'!C9)</f>
        <v>13</v>
      </c>
      <c r="G9" s="24">
        <f>SUM(B9:F9)</f>
        <v>38</v>
      </c>
      <c r="H9" s="25">
        <f>SUM('ANGKUTAN LAUT LUAR NEGERI'!D9,'ANGKUTAN LAUT DALAM NEGERI'!D9,PELRA!D9,PERINTIS!D9,'ANGKUTAN PENYEBRANGAN'!D9)</f>
        <v>39113</v>
      </c>
      <c r="I9" s="25">
        <f>SUM(PERINTIS!E9,PELRA!E9,'ANGKUTAN LAUT DALAM NEGERI'!E9,'ANGKUTAN LAUT LUAR NEGERI'!E9)</f>
        <v>341</v>
      </c>
      <c r="J9" s="25">
        <f>SUM(PERINTIS!F9,PELRA!F9,'ANGKUTAN LAUT DALAM NEGERI'!F9,'ANGKUTAN LAUT LUAR NEGERI'!F9)</f>
        <v>80</v>
      </c>
      <c r="K9" s="24">
        <f>SUM(PELRA!I9)</f>
        <v>0</v>
      </c>
      <c r="L9" s="24">
        <f>SUM(PERINTIS!L9,'ANGKUTAN PENYEBRANGAN'!F9)</f>
        <v>106</v>
      </c>
      <c r="M9" s="24">
        <f>SUM('ANGKUTAN PENYEBRANGAN'!E9)</f>
        <v>17</v>
      </c>
      <c r="N9" s="25">
        <f>SUM(PERINTIS!G9,PELRA!G9,'ANGKUTAN LAUT DALAM NEGERI'!G9,'ANGKUTAN LAUT LUAR NEGERI'!G9)</f>
        <v>43</v>
      </c>
      <c r="O9" s="24">
        <f>SUM(PERINTIS!H9,PELRA!H9,'ANGKUTAN LAUT DALAM NEGERI'!H9,'ANGKUTAN LAUT LUAR NEGERI'!H9)</f>
        <v>0</v>
      </c>
      <c r="P9" s="26">
        <f>SUM(PELRA!J9)</f>
        <v>1</v>
      </c>
      <c r="Q9" s="24">
        <f>SUM(PERINTIS!M9,'ANGKUTAN PENYEBRANGAN'!H9)</f>
        <v>50</v>
      </c>
      <c r="R9" s="24">
        <f>SUM('ANGKUTAN PENYEBRANGAN'!G9)</f>
        <v>16</v>
      </c>
      <c r="S9" s="24">
        <f>SUM('ANGKUTAN LAUT LUAR NEGERI'!I9,'ANGKUTAN LAUT DALAM NEGERI'!I9,PELRA!K9,PERINTIS!I9,'ANGKUTAN PENYEBRANGAN'!I9)</f>
        <v>1393</v>
      </c>
      <c r="T9" s="26">
        <f>SUM('ANGKUTAN LAUT LUAR NEGERI'!J9,'ANGKUTAN LAUT DALAM NEGERI'!J9,PELRA!L9,PERINTIS!J9,'ANGKUTAN PENYEBRANGAN'!J9)</f>
        <v>520</v>
      </c>
      <c r="U9" s="27">
        <f>SUM('ANGKUTAN LAUT LUAR NEGERI'!K9,'ANGKUTAN LAUT DALAM NEGERI'!K9,PELRA!M9,PERINTIS!K9,'ANGKUTAN PENYEBRANGAN'!K9)</f>
        <v>1118</v>
      </c>
    </row>
    <row r="10" ht="17.25" customHeight="1" spans="1:21">
      <c r="A10" s="28" t="s">
        <v>15</v>
      </c>
      <c r="B10" s="29">
        <f>SUM('ANGKUTAN LAUT LUAR NEGERI'!C10)</f>
        <v>0</v>
      </c>
      <c r="C10" s="29">
        <f>SUM('ANGKUTAN LAUT DALAM NEGERI'!C10)</f>
        <v>1</v>
      </c>
      <c r="D10" s="29">
        <f>SUM(PELRA!C10)</f>
        <v>18</v>
      </c>
      <c r="E10" s="29">
        <f>SUM(PERINTIS!C10)</f>
        <v>11</v>
      </c>
      <c r="F10" s="29">
        <f>SUM('ANGKUTAN PENYEBRANGAN'!C10)</f>
        <v>25</v>
      </c>
      <c r="G10" s="29">
        <f t="shared" ref="G10:G20" si="0">SUM(B10:F10)</f>
        <v>55</v>
      </c>
      <c r="H10" s="30">
        <f>SUM('ANGKUTAN LAUT LUAR NEGERI'!D10,'ANGKUTAN LAUT DALAM NEGERI'!D10,PELRA!D10,PERINTIS!D10,'ANGKUTAN PENYEBRANGAN'!D10)</f>
        <v>40706</v>
      </c>
      <c r="I10" s="30">
        <f>SUM(PERINTIS!E10,PELRA!E10,'ANGKUTAN LAUT DALAM NEGERI'!E10,'ANGKUTAN LAUT LUAR NEGERI'!E10)</f>
        <v>446</v>
      </c>
      <c r="J10" s="30">
        <f>SUM(PERINTIS!F10,PELRA!F10,'ANGKUTAN LAUT DALAM NEGERI'!F10,'ANGKUTAN LAUT LUAR NEGERI'!F10)</f>
        <v>80</v>
      </c>
      <c r="K10" s="29">
        <f>SUM(PELRA!I10)</f>
        <v>0</v>
      </c>
      <c r="L10" s="29">
        <f>SUM(PERINTIS!L10,'ANGKUTAN PENYEBRANGAN'!F10)</f>
        <v>112</v>
      </c>
      <c r="M10" s="29">
        <f>SUM('ANGKUTAN PENYEBRANGAN'!E10)</f>
        <v>29</v>
      </c>
      <c r="N10" s="30">
        <f>SUM(PERINTIS!G10,PELRA!G10,'ANGKUTAN LAUT DALAM NEGERI'!G10,'ANGKUTAN LAUT LUAR NEGERI'!G10)</f>
        <v>184</v>
      </c>
      <c r="O10" s="29">
        <f>SUM(PERINTIS!H10,PELRA!H10,'ANGKUTAN LAUT DALAM NEGERI'!H10,'ANGKUTAN LAUT LUAR NEGERI'!H10)</f>
        <v>0</v>
      </c>
      <c r="P10" s="31">
        <f>SUM(PELRA!J10)</f>
        <v>29</v>
      </c>
      <c r="Q10" s="29">
        <f>SUM(PERINTIS!M10,'ANGKUTAN PENYEBRANGAN'!H10)</f>
        <v>49</v>
      </c>
      <c r="R10" s="29">
        <f>SUM('ANGKUTAN PENYEBRANGAN'!G10)</f>
        <v>25</v>
      </c>
      <c r="S10" s="29">
        <f>SUM('ANGKUTAN LAUT LUAR NEGERI'!I10,'ANGKUTAN LAUT DALAM NEGERI'!I10,PELRA!K10,PERINTIS!I10,'ANGKUTAN PENYEBRANGAN'!I10)</f>
        <v>980</v>
      </c>
      <c r="T10" s="31">
        <f>SUM('ANGKUTAN LAUT LUAR NEGERI'!J10,'ANGKUTAN LAUT DALAM NEGERI'!J10,PELRA!L10,PERINTIS!J10,'ANGKUTAN PENYEBRANGAN'!J10)</f>
        <v>577</v>
      </c>
      <c r="U10" s="32">
        <f>SUM('ANGKUTAN LAUT LUAR NEGERI'!K10,'ANGKUTAN LAUT DALAM NEGERI'!K10,PELRA!M10,PERINTIS!K10,'ANGKUTAN PENYEBRANGAN'!K10)</f>
        <v>1059</v>
      </c>
    </row>
    <row r="11" ht="17.25" customHeight="1" spans="1:21">
      <c r="A11" s="33" t="s">
        <v>16</v>
      </c>
      <c r="B11" s="29">
        <f>SUM('ANGKUTAN LAUT LUAR NEGERI'!C11)</f>
        <v>0</v>
      </c>
      <c r="C11" s="29">
        <f>SUM('ANGKUTAN LAUT DALAM NEGERI'!C11)</f>
        <v>0</v>
      </c>
      <c r="D11" s="29">
        <f>SUM(PELRA!C11)</f>
        <v>0</v>
      </c>
      <c r="E11" s="29">
        <f>SUM(PERINTIS!C11)</f>
        <v>0</v>
      </c>
      <c r="F11" s="29">
        <f>SUM('ANGKUTAN PENYEBRANGAN'!C11)</f>
        <v>0</v>
      </c>
      <c r="G11" s="29">
        <f t="shared" si="0"/>
        <v>0</v>
      </c>
      <c r="H11" s="30">
        <f>SUM('ANGKUTAN LAUT LUAR NEGERI'!D11,'ANGKUTAN LAUT DALAM NEGERI'!D11,PELRA!D11,PERINTIS!D11,'ANGKUTAN PENYEBRANGAN'!D11)</f>
        <v>0</v>
      </c>
      <c r="I11" s="30">
        <f>SUM(PERINTIS!E11,PELRA!E11,'ANGKUTAN LAUT DALAM NEGERI'!E11,'ANGKUTAN LAUT LUAR NEGERI'!E11)</f>
        <v>0</v>
      </c>
      <c r="J11" s="30">
        <f>SUM(PERINTIS!F11,PELRA!F11,'ANGKUTAN LAUT DALAM NEGERI'!F11,'ANGKUTAN LAUT LUAR NEGERI'!F11)</f>
        <v>80</v>
      </c>
      <c r="K11" s="29">
        <f>SUM(PELRA!I11)</f>
        <v>0</v>
      </c>
      <c r="L11" s="29">
        <f>SUM(PERINTIS!L11,'ANGKUTAN PENYEBRANGAN'!F11)</f>
        <v>0</v>
      </c>
      <c r="M11" s="29">
        <f>SUM('ANGKUTAN PENYEBRANGAN'!E11)</f>
        <v>0</v>
      </c>
      <c r="N11" s="30">
        <f>SUM(PERINTIS!G11,PELRA!G11,'ANGKUTAN LAUT DALAM NEGERI'!G11,'ANGKUTAN LAUT LUAR NEGERI'!G11)</f>
        <v>0</v>
      </c>
      <c r="O11" s="29">
        <f>SUM(PERINTIS!H11,PELRA!H11,'ANGKUTAN LAUT DALAM NEGERI'!H11,'ANGKUTAN LAUT LUAR NEGERI'!H11)</f>
        <v>0</v>
      </c>
      <c r="P11" s="31">
        <f>SUM(PELRA!J11)</f>
        <v>0</v>
      </c>
      <c r="Q11" s="29">
        <f>SUM(PERINTIS!M11,'ANGKUTAN PENYEBRANGAN'!H11)</f>
        <v>0</v>
      </c>
      <c r="R11" s="29">
        <f>SUM('ANGKUTAN PENYEBRANGAN'!G11)</f>
        <v>0</v>
      </c>
      <c r="S11" s="29">
        <f>SUM('ANGKUTAN LAUT LUAR NEGERI'!I11,'ANGKUTAN LAUT DALAM NEGERI'!I11,PELRA!K11,PERINTIS!I11,'ANGKUTAN PENYEBRANGAN'!I11)</f>
        <v>0</v>
      </c>
      <c r="T11" s="31">
        <f>SUM('ANGKUTAN LAUT LUAR NEGERI'!J11,'ANGKUTAN LAUT DALAM NEGERI'!J11,PELRA!L11,PERINTIS!J11,'ANGKUTAN PENYEBRANGAN'!J11)</f>
        <v>0</v>
      </c>
      <c r="U11" s="32">
        <f>SUM('ANGKUTAN LAUT LUAR NEGERI'!K11,'ANGKUTAN LAUT DALAM NEGERI'!K11,PELRA!M11,PERINTIS!K11,'ANGKUTAN PENYEBRANGAN'!K11)</f>
        <v>0</v>
      </c>
    </row>
    <row r="12" ht="17.25" customHeight="1" spans="1:21">
      <c r="A12" s="28" t="s">
        <v>17</v>
      </c>
      <c r="B12" s="29">
        <f>SUM('ANGKUTAN LAUT LUAR NEGERI'!C12)</f>
        <v>0</v>
      </c>
      <c r="C12" s="29">
        <f>SUM('ANGKUTAN LAUT DALAM NEGERI'!C12)</f>
        <v>0</v>
      </c>
      <c r="D12" s="29">
        <f>SUM(PELRA!C12)</f>
        <v>0</v>
      </c>
      <c r="E12" s="29">
        <f>SUM(PERINTIS!C12)</f>
        <v>0</v>
      </c>
      <c r="F12" s="29">
        <f>SUM('ANGKUTAN PENYEBRANGAN'!C12)</f>
        <v>0</v>
      </c>
      <c r="G12" s="29">
        <f t="shared" si="0"/>
        <v>0</v>
      </c>
      <c r="H12" s="30">
        <f>SUM('ANGKUTAN LAUT LUAR NEGERI'!D12,'ANGKUTAN LAUT DALAM NEGERI'!D12,PELRA!D12,PERINTIS!D12,'ANGKUTAN PENYEBRANGAN'!D12)</f>
        <v>0</v>
      </c>
      <c r="I12" s="30">
        <f>SUM(PERINTIS!E12,PELRA!E12,'ANGKUTAN LAUT DALAM NEGERI'!E12,'ANGKUTAN LAUT LUAR NEGERI'!E12)</f>
        <v>0</v>
      </c>
      <c r="J12" s="30">
        <f>SUM(PERINTIS!F12,PELRA!F12,'ANGKUTAN LAUT DALAM NEGERI'!F12,'ANGKUTAN LAUT LUAR NEGERI'!F12)</f>
        <v>80</v>
      </c>
      <c r="K12" s="29">
        <f>SUM(PELRA!I12)</f>
        <v>0</v>
      </c>
      <c r="L12" s="29">
        <f>SUM(PERINTIS!L12,'ANGKUTAN PENYEBRANGAN'!F12)</f>
        <v>0</v>
      </c>
      <c r="M12" s="29">
        <f>SUM('ANGKUTAN PENYEBRANGAN'!E12)</f>
        <v>0</v>
      </c>
      <c r="N12" s="30">
        <f>SUM(PERINTIS!G12,PELRA!G12,'ANGKUTAN LAUT DALAM NEGERI'!G12,'ANGKUTAN LAUT LUAR NEGERI'!G12)</f>
        <v>0</v>
      </c>
      <c r="O12" s="29">
        <f>SUM(PERINTIS!H12,PELRA!H12,'ANGKUTAN LAUT DALAM NEGERI'!H12,'ANGKUTAN LAUT LUAR NEGERI'!H12)</f>
        <v>0</v>
      </c>
      <c r="P12" s="31">
        <f>SUM(PELRA!J12)</f>
        <v>0</v>
      </c>
      <c r="Q12" s="29">
        <f>SUM(PERINTIS!M12,'ANGKUTAN PENYEBRANGAN'!H12)</f>
        <v>0</v>
      </c>
      <c r="R12" s="29">
        <f>SUM('ANGKUTAN PENYEBRANGAN'!G12)</f>
        <v>0</v>
      </c>
      <c r="S12" s="29">
        <f>SUM('ANGKUTAN LAUT LUAR NEGERI'!I12,'ANGKUTAN LAUT DALAM NEGERI'!I12,PELRA!K12,PERINTIS!I12,'ANGKUTAN PENYEBRANGAN'!I12)</f>
        <v>0</v>
      </c>
      <c r="T12" s="31">
        <f>SUM('ANGKUTAN LAUT LUAR NEGERI'!J12,'ANGKUTAN LAUT DALAM NEGERI'!J12,PELRA!L12,PERINTIS!J12,'ANGKUTAN PENYEBRANGAN'!J12)</f>
        <v>0</v>
      </c>
      <c r="U12" s="32">
        <f>SUM('ANGKUTAN LAUT LUAR NEGERI'!K12,'ANGKUTAN LAUT DALAM NEGERI'!K12,PELRA!M12,PERINTIS!K12,'ANGKUTAN PENYEBRANGAN'!K12)</f>
        <v>0</v>
      </c>
    </row>
    <row r="13" ht="17.25" customHeight="1" spans="1:21">
      <c r="A13" s="28" t="s">
        <v>18</v>
      </c>
      <c r="B13" s="29">
        <f>SUM('ANGKUTAN LAUT LUAR NEGERI'!C13)</f>
        <v>0</v>
      </c>
      <c r="C13" s="29">
        <f>SUM('ANGKUTAN LAUT DALAM NEGERI'!C13)</f>
        <v>0</v>
      </c>
      <c r="D13" s="29">
        <f>SUM(PELRA!C13)</f>
        <v>0</v>
      </c>
      <c r="E13" s="29">
        <f>SUM(PERINTIS!C13)</f>
        <v>0</v>
      </c>
      <c r="F13" s="29">
        <f>SUM('ANGKUTAN PENYEBRANGAN'!C13)</f>
        <v>0</v>
      </c>
      <c r="G13" s="29">
        <f t="shared" si="0"/>
        <v>0</v>
      </c>
      <c r="H13" s="30">
        <f>SUM('ANGKUTAN LAUT LUAR NEGERI'!D13,'ANGKUTAN LAUT DALAM NEGERI'!D13,PELRA!D13,PERINTIS!D13,'ANGKUTAN PENYEBRANGAN'!D13)</f>
        <v>0</v>
      </c>
      <c r="I13" s="30">
        <f>SUM(PERINTIS!E13,PELRA!E13,'ANGKUTAN LAUT DALAM NEGERI'!E13,'ANGKUTAN LAUT LUAR NEGERI'!E13)</f>
        <v>0</v>
      </c>
      <c r="J13" s="30">
        <f>SUM(PERINTIS!F13,PELRA!F13,'ANGKUTAN LAUT DALAM NEGERI'!F13,'ANGKUTAN LAUT LUAR NEGERI'!F13)</f>
        <v>80</v>
      </c>
      <c r="K13" s="29">
        <f>SUM(PELRA!I13)</f>
        <v>0</v>
      </c>
      <c r="L13" s="29">
        <f>SUM(PERINTIS!L13,'ANGKUTAN PENYEBRANGAN'!F13)</f>
        <v>0</v>
      </c>
      <c r="M13" s="29">
        <f>SUM('ANGKUTAN PENYEBRANGAN'!E13)</f>
        <v>0</v>
      </c>
      <c r="N13" s="30">
        <f>SUM(PERINTIS!G13,PELRA!G13,'ANGKUTAN LAUT DALAM NEGERI'!G13,'ANGKUTAN LAUT LUAR NEGERI'!G13)</f>
        <v>0</v>
      </c>
      <c r="O13" s="29">
        <f>SUM(PERINTIS!H13,PELRA!H13,'ANGKUTAN LAUT DALAM NEGERI'!H13,'ANGKUTAN LAUT LUAR NEGERI'!H13)</f>
        <v>0</v>
      </c>
      <c r="P13" s="31">
        <f>SUM(PELRA!J13)</f>
        <v>0</v>
      </c>
      <c r="Q13" s="29">
        <f>SUM(PERINTIS!M13,'ANGKUTAN PENYEBRANGAN'!H13)</f>
        <v>0</v>
      </c>
      <c r="R13" s="29">
        <f>SUM('ANGKUTAN PENYEBRANGAN'!G13)</f>
        <v>0</v>
      </c>
      <c r="S13" s="29">
        <f>SUM('ANGKUTAN LAUT LUAR NEGERI'!I13,'ANGKUTAN LAUT DALAM NEGERI'!I13,PELRA!K13,PERINTIS!I13,'ANGKUTAN PENYEBRANGAN'!I13)</f>
        <v>0</v>
      </c>
      <c r="T13" s="31">
        <f>SUM('ANGKUTAN LAUT LUAR NEGERI'!J13,'ANGKUTAN LAUT DALAM NEGERI'!J13,PELRA!L13,PERINTIS!J13,'ANGKUTAN PENYEBRANGAN'!J13)</f>
        <v>0</v>
      </c>
      <c r="U13" s="32">
        <f>SUM('ANGKUTAN LAUT LUAR NEGERI'!K13,'ANGKUTAN LAUT DALAM NEGERI'!K13,PELRA!M13,PERINTIS!K13,'ANGKUTAN PENYEBRANGAN'!K13)</f>
        <v>0</v>
      </c>
    </row>
    <row r="14" ht="17.25" customHeight="1" spans="1:21">
      <c r="A14" s="34" t="s">
        <v>19</v>
      </c>
      <c r="B14" s="29">
        <f>SUM('ANGKUTAN LAUT LUAR NEGERI'!C14)</f>
        <v>0</v>
      </c>
      <c r="C14" s="29">
        <f>SUM('ANGKUTAN LAUT DALAM NEGERI'!C14)</f>
        <v>0</v>
      </c>
      <c r="D14" s="29">
        <f>SUM(PELRA!C14)</f>
        <v>0</v>
      </c>
      <c r="E14" s="29">
        <f>SUM(PERINTIS!C14)</f>
        <v>0</v>
      </c>
      <c r="F14" s="29">
        <f>SUM('ANGKUTAN PENYEBRANGAN'!C14)</f>
        <v>0</v>
      </c>
      <c r="G14" s="29">
        <f t="shared" si="0"/>
        <v>0</v>
      </c>
      <c r="H14" s="30">
        <f>SUM('ANGKUTAN LAUT LUAR NEGERI'!D14,'ANGKUTAN LAUT DALAM NEGERI'!D14,PELRA!D14,PERINTIS!D14,'ANGKUTAN PENYEBRANGAN'!D14)</f>
        <v>0</v>
      </c>
      <c r="I14" s="30">
        <f>SUM(PERINTIS!E14,PELRA!E14,'ANGKUTAN LAUT DALAM NEGERI'!E14,'ANGKUTAN LAUT LUAR NEGERI'!E14)</f>
        <v>0</v>
      </c>
      <c r="J14" s="30">
        <f>SUM(PERINTIS!F14,PELRA!F14,'ANGKUTAN LAUT DALAM NEGERI'!F14,'ANGKUTAN LAUT LUAR NEGERI'!F14)</f>
        <v>80</v>
      </c>
      <c r="K14" s="29">
        <f>SUM(PELRA!I14)</f>
        <v>0</v>
      </c>
      <c r="L14" s="29">
        <f>SUM(PERINTIS!L14,'ANGKUTAN PENYEBRANGAN'!F14)</f>
        <v>0</v>
      </c>
      <c r="M14" s="29">
        <f>SUM('ANGKUTAN PENYEBRANGAN'!E14)</f>
        <v>0</v>
      </c>
      <c r="N14" s="30">
        <f>SUM(PERINTIS!G14,PELRA!G14,'ANGKUTAN LAUT DALAM NEGERI'!G14,'ANGKUTAN LAUT LUAR NEGERI'!G14)</f>
        <v>0</v>
      </c>
      <c r="O14" s="29">
        <f>SUM(PERINTIS!H14,PELRA!H14,'ANGKUTAN LAUT DALAM NEGERI'!H14,'ANGKUTAN LAUT LUAR NEGERI'!H14)</f>
        <v>0</v>
      </c>
      <c r="P14" s="31">
        <f>SUM(PELRA!J14)</f>
        <v>0</v>
      </c>
      <c r="Q14" s="29">
        <f>SUM(PERINTIS!M14,'ANGKUTAN PENYEBRANGAN'!H14)</f>
        <v>0</v>
      </c>
      <c r="R14" s="29">
        <f>SUM('ANGKUTAN PENYEBRANGAN'!G14)</f>
        <v>0</v>
      </c>
      <c r="S14" s="29">
        <f>SUM('ANGKUTAN LAUT LUAR NEGERI'!I14,'ANGKUTAN LAUT DALAM NEGERI'!I14,PELRA!K14,PERINTIS!I14,'ANGKUTAN PENYEBRANGAN'!I14)</f>
        <v>0</v>
      </c>
      <c r="T14" s="31">
        <f>SUM('ANGKUTAN LAUT LUAR NEGERI'!J14,'ANGKUTAN LAUT DALAM NEGERI'!J14,PELRA!L14,PERINTIS!J14,'ANGKUTAN PENYEBRANGAN'!J14)</f>
        <v>0</v>
      </c>
      <c r="U14" s="32">
        <f>SUM('ANGKUTAN LAUT LUAR NEGERI'!K14,'ANGKUTAN LAUT DALAM NEGERI'!K14,PELRA!M14,PERINTIS!K14,'ANGKUTAN PENYEBRANGAN'!K14)</f>
        <v>0</v>
      </c>
    </row>
    <row r="15" ht="17.25" customHeight="1" spans="1:21">
      <c r="A15" s="28" t="s">
        <v>20</v>
      </c>
      <c r="B15" s="29">
        <f>SUM('ANGKUTAN LAUT LUAR NEGERI'!C15)</f>
        <v>0</v>
      </c>
      <c r="C15" s="29">
        <f>SUM('ANGKUTAN LAUT DALAM NEGERI'!C15)</f>
        <v>0</v>
      </c>
      <c r="D15" s="29">
        <f>SUM(PELRA!C15)</f>
        <v>0</v>
      </c>
      <c r="E15" s="29">
        <f>SUM(PERINTIS!C15)</f>
        <v>0</v>
      </c>
      <c r="F15" s="29">
        <f>SUM('ANGKUTAN PENYEBRANGAN'!C15)</f>
        <v>0</v>
      </c>
      <c r="G15" s="29">
        <f t="shared" si="0"/>
        <v>0</v>
      </c>
      <c r="H15" s="30">
        <f>SUM('ANGKUTAN LAUT LUAR NEGERI'!D15,'ANGKUTAN LAUT DALAM NEGERI'!D15,PELRA!D15,PERINTIS!D15,'ANGKUTAN PENYEBRANGAN'!D15)</f>
        <v>0</v>
      </c>
      <c r="I15" s="30">
        <f>SUM(PERINTIS!E15,PELRA!E15,'ANGKUTAN LAUT DALAM NEGERI'!E15,'ANGKUTAN LAUT LUAR NEGERI'!E15)</f>
        <v>0</v>
      </c>
      <c r="J15" s="30">
        <f>SUM(PERINTIS!F15,PELRA!F15,'ANGKUTAN LAUT DALAM NEGERI'!F15,'ANGKUTAN LAUT LUAR NEGERI'!F15)</f>
        <v>80</v>
      </c>
      <c r="K15" s="29">
        <f>SUM(PELRA!I15)</f>
        <v>0</v>
      </c>
      <c r="L15" s="29">
        <f>SUM(PERINTIS!L15,'ANGKUTAN PENYEBRANGAN'!F15)</f>
        <v>0</v>
      </c>
      <c r="M15" s="29">
        <f>SUM('ANGKUTAN PENYEBRANGAN'!E15)</f>
        <v>0</v>
      </c>
      <c r="N15" s="30">
        <f>SUM(PERINTIS!G15,PELRA!G15,'ANGKUTAN LAUT DALAM NEGERI'!G15,'ANGKUTAN LAUT LUAR NEGERI'!G15)</f>
        <v>0</v>
      </c>
      <c r="O15" s="29">
        <f>SUM(PERINTIS!H15,PELRA!H15,'ANGKUTAN LAUT DALAM NEGERI'!H15,'ANGKUTAN LAUT LUAR NEGERI'!H15)</f>
        <v>0</v>
      </c>
      <c r="P15" s="31">
        <f>SUM(PELRA!J15)</f>
        <v>0</v>
      </c>
      <c r="Q15" s="29">
        <f>SUM(PERINTIS!M15,'ANGKUTAN PENYEBRANGAN'!H15)</f>
        <v>0</v>
      </c>
      <c r="R15" s="29">
        <f>SUM('ANGKUTAN PENYEBRANGAN'!G15)</f>
        <v>0</v>
      </c>
      <c r="S15" s="29">
        <f>SUM('ANGKUTAN LAUT LUAR NEGERI'!I15,'ANGKUTAN LAUT DALAM NEGERI'!I15,PELRA!K15,PERINTIS!I15,'ANGKUTAN PENYEBRANGAN'!I15)</f>
        <v>0</v>
      </c>
      <c r="T15" s="31">
        <f>SUM('ANGKUTAN LAUT LUAR NEGERI'!J15,'ANGKUTAN LAUT DALAM NEGERI'!J15,PELRA!L15,PERINTIS!J15,'ANGKUTAN PENYEBRANGAN'!J15)</f>
        <v>0</v>
      </c>
      <c r="U15" s="32">
        <f>SUM('ANGKUTAN LAUT LUAR NEGERI'!K15,'ANGKUTAN LAUT DALAM NEGERI'!K15,PELRA!M15,PERINTIS!K15,'ANGKUTAN PENYEBRANGAN'!K15)</f>
        <v>0</v>
      </c>
    </row>
    <row r="16" ht="17.25" customHeight="1" spans="1:21">
      <c r="A16" s="33" t="s">
        <v>21</v>
      </c>
      <c r="B16" s="29">
        <f>SUM('ANGKUTAN LAUT LUAR NEGERI'!C16)</f>
        <v>0</v>
      </c>
      <c r="C16" s="29">
        <f>SUM('ANGKUTAN LAUT DALAM NEGERI'!C16)</f>
        <v>0</v>
      </c>
      <c r="D16" s="29">
        <f>SUM(PELRA!C16)</f>
        <v>0</v>
      </c>
      <c r="E16" s="29">
        <f>SUM(PERINTIS!C16)</f>
        <v>0</v>
      </c>
      <c r="F16" s="29">
        <f>SUM('ANGKUTAN PENYEBRANGAN'!C16)</f>
        <v>0</v>
      </c>
      <c r="G16" s="29">
        <f t="shared" si="0"/>
        <v>0</v>
      </c>
      <c r="H16" s="30">
        <f>SUM('ANGKUTAN LAUT LUAR NEGERI'!D16,'ANGKUTAN LAUT DALAM NEGERI'!D16,PELRA!D16,PERINTIS!D16,'ANGKUTAN PENYEBRANGAN'!D16)</f>
        <v>0</v>
      </c>
      <c r="I16" s="30">
        <f>SUM(PERINTIS!E16,PELRA!E16,'ANGKUTAN LAUT DALAM NEGERI'!E16,'ANGKUTAN LAUT LUAR NEGERI'!E16)</f>
        <v>0</v>
      </c>
      <c r="J16" s="30">
        <f>SUM(PERINTIS!F16,PELRA!F16,'ANGKUTAN LAUT DALAM NEGERI'!F16,'ANGKUTAN LAUT LUAR NEGERI'!F16)</f>
        <v>80</v>
      </c>
      <c r="K16" s="29">
        <f>SUM(PELRA!I16)</f>
        <v>0</v>
      </c>
      <c r="L16" s="29">
        <f>SUM(PERINTIS!L16,'ANGKUTAN PENYEBRANGAN'!F16)</f>
        <v>0</v>
      </c>
      <c r="M16" s="29">
        <f>SUM('ANGKUTAN PENYEBRANGAN'!E16)</f>
        <v>0</v>
      </c>
      <c r="N16" s="30">
        <f>SUM(PERINTIS!G16,PELRA!G16,'ANGKUTAN LAUT DALAM NEGERI'!G16,'ANGKUTAN LAUT LUAR NEGERI'!G16)</f>
        <v>0</v>
      </c>
      <c r="O16" s="29">
        <f>SUM(PERINTIS!H16,PELRA!H16,'ANGKUTAN LAUT DALAM NEGERI'!H16,'ANGKUTAN LAUT LUAR NEGERI'!H16)</f>
        <v>0</v>
      </c>
      <c r="P16" s="31">
        <f>SUM(PELRA!J16)</f>
        <v>0</v>
      </c>
      <c r="Q16" s="29">
        <f>SUM(PERINTIS!M16,'ANGKUTAN PENYEBRANGAN'!H16)</f>
        <v>0</v>
      </c>
      <c r="R16" s="29">
        <f>SUM('ANGKUTAN PENYEBRANGAN'!G16)</f>
        <v>0</v>
      </c>
      <c r="S16" s="29">
        <f>SUM('ANGKUTAN LAUT LUAR NEGERI'!I16,'ANGKUTAN LAUT DALAM NEGERI'!I16,PELRA!K16,PERINTIS!I16,'ANGKUTAN PENYEBRANGAN'!I16)</f>
        <v>0</v>
      </c>
      <c r="T16" s="31">
        <f>SUM('ANGKUTAN LAUT LUAR NEGERI'!J16,'ANGKUTAN LAUT DALAM NEGERI'!J16,PELRA!L16,PERINTIS!J16,'ANGKUTAN PENYEBRANGAN'!J16)</f>
        <v>0</v>
      </c>
      <c r="U16" s="32">
        <f>SUM('ANGKUTAN LAUT LUAR NEGERI'!K16,'ANGKUTAN LAUT DALAM NEGERI'!K16,PELRA!M16,PERINTIS!K16,'ANGKUTAN PENYEBRANGAN'!K16)</f>
        <v>0</v>
      </c>
    </row>
    <row r="17" ht="17.25" customHeight="1" spans="1:21">
      <c r="A17" s="33" t="s">
        <v>22</v>
      </c>
      <c r="B17" s="29">
        <f>SUM('ANGKUTAN LAUT LUAR NEGERI'!C17)</f>
        <v>0</v>
      </c>
      <c r="C17" s="29">
        <f>SUM('ANGKUTAN LAUT DALAM NEGERI'!C17)</f>
        <v>0</v>
      </c>
      <c r="D17" s="29">
        <f>SUM(PELRA!C17)</f>
        <v>0</v>
      </c>
      <c r="E17" s="29">
        <f>SUM(PERINTIS!C17)</f>
        <v>0</v>
      </c>
      <c r="F17" s="29">
        <f>SUM('ANGKUTAN PENYEBRANGAN'!C17)</f>
        <v>0</v>
      </c>
      <c r="G17" s="29">
        <f t="shared" si="0"/>
        <v>0</v>
      </c>
      <c r="H17" s="30">
        <f>SUM('ANGKUTAN LAUT LUAR NEGERI'!D17,'ANGKUTAN LAUT DALAM NEGERI'!D17,PELRA!D17,PERINTIS!D17,'ANGKUTAN PENYEBRANGAN'!D17)</f>
        <v>0</v>
      </c>
      <c r="I17" s="30">
        <f>SUM(PERINTIS!E17,PELRA!E17,'ANGKUTAN LAUT DALAM NEGERI'!E17,'ANGKUTAN LAUT LUAR NEGERI'!E17)</f>
        <v>0</v>
      </c>
      <c r="J17" s="30">
        <f>SUM(PERINTIS!F17,PELRA!F17,'ANGKUTAN LAUT DALAM NEGERI'!F17,'ANGKUTAN LAUT LUAR NEGERI'!F17)</f>
        <v>80</v>
      </c>
      <c r="K17" s="29">
        <f>SUM(PELRA!I17)</f>
        <v>0</v>
      </c>
      <c r="L17" s="29">
        <f>SUM(PERINTIS!L17,'ANGKUTAN PENYEBRANGAN'!F17)</f>
        <v>0</v>
      </c>
      <c r="M17" s="29">
        <f>SUM('ANGKUTAN PENYEBRANGAN'!E17)</f>
        <v>0</v>
      </c>
      <c r="N17" s="30">
        <f>SUM(PERINTIS!G17,PELRA!G17,'ANGKUTAN LAUT DALAM NEGERI'!G17,'ANGKUTAN LAUT LUAR NEGERI'!G17)</f>
        <v>0</v>
      </c>
      <c r="O17" s="29">
        <f>SUM(PERINTIS!H17,PELRA!H17,'ANGKUTAN LAUT DALAM NEGERI'!H17,'ANGKUTAN LAUT LUAR NEGERI'!H17)</f>
        <v>0</v>
      </c>
      <c r="P17" s="31">
        <f>SUM(PELRA!J17)</f>
        <v>0</v>
      </c>
      <c r="Q17" s="29">
        <f>SUM(PERINTIS!M17,'ANGKUTAN PENYEBRANGAN'!H17)</f>
        <v>0</v>
      </c>
      <c r="R17" s="29">
        <f>SUM('ANGKUTAN PENYEBRANGAN'!G17)</f>
        <v>0</v>
      </c>
      <c r="S17" s="29">
        <f>SUM('ANGKUTAN LAUT LUAR NEGERI'!I17,'ANGKUTAN LAUT DALAM NEGERI'!I17,PELRA!K17,PERINTIS!I17,'ANGKUTAN PENYEBRANGAN'!I17)</f>
        <v>0</v>
      </c>
      <c r="T17" s="31">
        <f>SUM('ANGKUTAN LAUT LUAR NEGERI'!J17,'ANGKUTAN LAUT DALAM NEGERI'!J17,PELRA!L17,PERINTIS!J17,'ANGKUTAN PENYEBRANGAN'!J17)</f>
        <v>0</v>
      </c>
      <c r="U17" s="32">
        <f>SUM('ANGKUTAN LAUT LUAR NEGERI'!K17,'ANGKUTAN LAUT DALAM NEGERI'!K17,PELRA!M17,PERINTIS!K17,'ANGKUTAN PENYEBRANGAN'!K17)</f>
        <v>0</v>
      </c>
    </row>
    <row r="18" ht="17.25" customHeight="1" spans="1:21">
      <c r="A18" s="33" t="s">
        <v>23</v>
      </c>
      <c r="B18" s="29">
        <f>SUM('ANGKUTAN LAUT LUAR NEGERI'!C18)</f>
        <v>0</v>
      </c>
      <c r="C18" s="29">
        <f>SUM('ANGKUTAN LAUT DALAM NEGERI'!C18)</f>
        <v>0</v>
      </c>
      <c r="D18" s="29">
        <f>SUM(PELRA!C18)</f>
        <v>0</v>
      </c>
      <c r="E18" s="29">
        <f>SUM(PERINTIS!C18)</f>
        <v>0</v>
      </c>
      <c r="F18" s="29">
        <f>SUM('ANGKUTAN PENYEBRANGAN'!C18)</f>
        <v>0</v>
      </c>
      <c r="G18" s="29">
        <f t="shared" si="0"/>
        <v>0</v>
      </c>
      <c r="H18" s="30">
        <f>SUM('ANGKUTAN LAUT LUAR NEGERI'!D18,'ANGKUTAN LAUT DALAM NEGERI'!D18,PELRA!D18,PERINTIS!D18,'ANGKUTAN PENYEBRANGAN'!D18)</f>
        <v>0</v>
      </c>
      <c r="I18" s="30">
        <f>SUM(PERINTIS!E18,PELRA!E18,'ANGKUTAN LAUT DALAM NEGERI'!E18,'ANGKUTAN LAUT LUAR NEGERI'!E18)</f>
        <v>0</v>
      </c>
      <c r="J18" s="30">
        <f>SUM(PERINTIS!F18,PELRA!F18,'ANGKUTAN LAUT DALAM NEGERI'!F18,'ANGKUTAN LAUT LUAR NEGERI'!F18)</f>
        <v>80</v>
      </c>
      <c r="K18" s="29">
        <f>SUM(PELRA!I18)</f>
        <v>0</v>
      </c>
      <c r="L18" s="29">
        <f>SUM(PERINTIS!L18,'ANGKUTAN PENYEBRANGAN'!F18)</f>
        <v>0</v>
      </c>
      <c r="M18" s="29">
        <f>SUM('ANGKUTAN PENYEBRANGAN'!E18)</f>
        <v>0</v>
      </c>
      <c r="N18" s="30">
        <f>SUM(PERINTIS!G18,PELRA!G18,'ANGKUTAN LAUT DALAM NEGERI'!G18,'ANGKUTAN LAUT LUAR NEGERI'!G18)</f>
        <v>0</v>
      </c>
      <c r="O18" s="29">
        <f>SUM(PERINTIS!H18,PELRA!H18,'ANGKUTAN LAUT DALAM NEGERI'!H18,'ANGKUTAN LAUT LUAR NEGERI'!H18)</f>
        <v>0</v>
      </c>
      <c r="P18" s="31">
        <f>SUM(PELRA!J18)</f>
        <v>0</v>
      </c>
      <c r="Q18" s="29">
        <f>SUM(PERINTIS!M18,'ANGKUTAN PENYEBRANGAN'!H18)</f>
        <v>0</v>
      </c>
      <c r="R18" s="29">
        <f>SUM('ANGKUTAN PENYEBRANGAN'!G18)</f>
        <v>0</v>
      </c>
      <c r="S18" s="29">
        <f>SUM('ANGKUTAN LAUT LUAR NEGERI'!I18,'ANGKUTAN LAUT DALAM NEGERI'!I18,PELRA!K18,PERINTIS!I18,'ANGKUTAN PENYEBRANGAN'!I18)</f>
        <v>0</v>
      </c>
      <c r="T18" s="31">
        <f>SUM('ANGKUTAN LAUT LUAR NEGERI'!J18,'ANGKUTAN LAUT DALAM NEGERI'!J18,PELRA!L18,PERINTIS!J18,'ANGKUTAN PENYEBRANGAN'!J18)</f>
        <v>0</v>
      </c>
      <c r="U18" s="32">
        <f>SUM('ANGKUTAN LAUT LUAR NEGERI'!K18,'ANGKUTAN LAUT DALAM NEGERI'!K18,PELRA!M18,PERINTIS!K18,'ANGKUTAN PENYEBRANGAN'!K18)</f>
        <v>0</v>
      </c>
    </row>
    <row r="19" ht="17.25" customHeight="1" spans="1:21">
      <c r="A19" s="33" t="s">
        <v>24</v>
      </c>
      <c r="B19" s="29">
        <f>SUM('ANGKUTAN LAUT LUAR NEGERI'!C19)</f>
        <v>0</v>
      </c>
      <c r="C19" s="29">
        <f>SUM('ANGKUTAN LAUT DALAM NEGERI'!C19)</f>
        <v>0</v>
      </c>
      <c r="D19" s="29">
        <f>SUM(PELRA!C19)</f>
        <v>0</v>
      </c>
      <c r="E19" s="29">
        <f>SUM(PERINTIS!C19)</f>
        <v>0</v>
      </c>
      <c r="F19" s="29">
        <f>SUM('ANGKUTAN PENYEBRANGAN'!C19)</f>
        <v>0</v>
      </c>
      <c r="G19" s="29">
        <f t="shared" si="0"/>
        <v>0</v>
      </c>
      <c r="H19" s="30">
        <f>SUM('ANGKUTAN LAUT LUAR NEGERI'!D19,'ANGKUTAN LAUT DALAM NEGERI'!D19,PELRA!D19,PERINTIS!D19,'ANGKUTAN PENYEBRANGAN'!D19)</f>
        <v>0</v>
      </c>
      <c r="I19" s="30">
        <f>SUM(PERINTIS!E19,PELRA!E19,'ANGKUTAN LAUT DALAM NEGERI'!E19,'ANGKUTAN LAUT LUAR NEGERI'!E19)</f>
        <v>0</v>
      </c>
      <c r="J19" s="30">
        <f>SUM(PERINTIS!F19,PELRA!F19,'ANGKUTAN LAUT DALAM NEGERI'!F19,'ANGKUTAN LAUT LUAR NEGERI'!F19)</f>
        <v>80</v>
      </c>
      <c r="K19" s="29">
        <f>SUM(PELRA!I19)</f>
        <v>0</v>
      </c>
      <c r="L19" s="29">
        <f>SUM(PERINTIS!L19,'ANGKUTAN PENYEBRANGAN'!F19)</f>
        <v>0</v>
      </c>
      <c r="M19" s="29">
        <f>SUM('ANGKUTAN PENYEBRANGAN'!E19)</f>
        <v>0</v>
      </c>
      <c r="N19" s="30">
        <f>SUM(PERINTIS!G19,PELRA!G19,'ANGKUTAN LAUT DALAM NEGERI'!G19,'ANGKUTAN LAUT LUAR NEGERI'!G19)</f>
        <v>0</v>
      </c>
      <c r="O19" s="29">
        <f>SUM(PERINTIS!H19,PELRA!H19,'ANGKUTAN LAUT DALAM NEGERI'!H19,'ANGKUTAN LAUT LUAR NEGERI'!H19)</f>
        <v>0</v>
      </c>
      <c r="P19" s="31">
        <f>SUM(PELRA!J19)</f>
        <v>0</v>
      </c>
      <c r="Q19" s="29">
        <f>SUM(PERINTIS!M19,'ANGKUTAN PENYEBRANGAN'!H19)</f>
        <v>0</v>
      </c>
      <c r="R19" s="29">
        <f>SUM('ANGKUTAN PENYEBRANGAN'!G19)</f>
        <v>0</v>
      </c>
      <c r="S19" s="29">
        <f>SUM('ANGKUTAN LAUT LUAR NEGERI'!I19,'ANGKUTAN LAUT DALAM NEGERI'!I19,PELRA!K19,PERINTIS!I19,'ANGKUTAN PENYEBRANGAN'!I19)</f>
        <v>0</v>
      </c>
      <c r="T19" s="31">
        <f>SUM('ANGKUTAN LAUT LUAR NEGERI'!J19,'ANGKUTAN LAUT DALAM NEGERI'!J19,PELRA!L19,PERINTIS!J19,'ANGKUTAN PENYEBRANGAN'!J19)</f>
        <v>0</v>
      </c>
      <c r="U19" s="32">
        <f>SUM('ANGKUTAN LAUT LUAR NEGERI'!K19,'ANGKUTAN LAUT DALAM NEGERI'!K19,PELRA!M19,PERINTIS!K19,'ANGKUTAN PENYEBRANGAN'!K19)</f>
        <v>0</v>
      </c>
    </row>
    <row r="20" ht="17.25" customHeight="1" spans="1:21">
      <c r="A20" s="35" t="s">
        <v>25</v>
      </c>
      <c r="B20" s="36">
        <f>SUM('ANGKUTAN LAUT LUAR NEGERI'!C20)</f>
        <v>0</v>
      </c>
      <c r="C20" s="36">
        <f>SUM('ANGKUTAN LAUT DALAM NEGERI'!C20)</f>
        <v>0</v>
      </c>
      <c r="D20" s="36">
        <f>SUM(PELRA!C20)</f>
        <v>0</v>
      </c>
      <c r="E20" s="36">
        <f>SUM(PERINTIS!C20)</f>
        <v>0</v>
      </c>
      <c r="F20" s="36">
        <f>SUM('ANGKUTAN PENYEBRANGAN'!C20)</f>
        <v>0</v>
      </c>
      <c r="G20" s="36">
        <f t="shared" si="0"/>
        <v>0</v>
      </c>
      <c r="H20" s="37">
        <f>SUM('ANGKUTAN LAUT LUAR NEGERI'!D20,'ANGKUTAN LAUT DALAM NEGERI'!D20,PELRA!D20,PERINTIS!D20,'ANGKUTAN PENYEBRANGAN'!D20)</f>
        <v>0</v>
      </c>
      <c r="I20" s="37">
        <f>SUM(PERINTIS!E20,PELRA!E20,'ANGKUTAN LAUT DALAM NEGERI'!E20,'ANGKUTAN LAUT LUAR NEGERI'!E20)</f>
        <v>0</v>
      </c>
      <c r="J20" s="37">
        <f>SUM(PERINTIS!F20,PELRA!F20,'ANGKUTAN LAUT DALAM NEGERI'!F20,'ANGKUTAN LAUT LUAR NEGERI'!F20)</f>
        <v>80</v>
      </c>
      <c r="K20" s="36">
        <f>SUM(PELRA!I20)</f>
        <v>0</v>
      </c>
      <c r="L20" s="36">
        <f>SUM(PERINTIS!L20,'ANGKUTAN PENYEBRANGAN'!F20)</f>
        <v>0</v>
      </c>
      <c r="M20" s="36">
        <f>SUM('ANGKUTAN PENYEBRANGAN'!E20)</f>
        <v>0</v>
      </c>
      <c r="N20" s="37">
        <f>SUM(PERINTIS!G20,PELRA!G20,'ANGKUTAN LAUT DALAM NEGERI'!G20,'ANGKUTAN LAUT LUAR NEGERI'!G20)</f>
        <v>0</v>
      </c>
      <c r="O20" s="36">
        <f>SUM(PERINTIS!H20,PELRA!H20,'ANGKUTAN LAUT DALAM NEGERI'!H20,'ANGKUTAN LAUT LUAR NEGERI'!H20)</f>
        <v>0</v>
      </c>
      <c r="P20" s="38">
        <f>SUM(PELRA!J20)</f>
        <v>0</v>
      </c>
      <c r="Q20" s="36">
        <f>SUM(PERINTIS!M20,'ANGKUTAN PENYEBRANGAN'!H20)</f>
        <v>0</v>
      </c>
      <c r="R20" s="36">
        <f>SUM('ANGKUTAN PENYEBRANGAN'!G20)</f>
        <v>0</v>
      </c>
      <c r="S20" s="36">
        <f>SUM('ANGKUTAN LAUT LUAR NEGERI'!I20,'ANGKUTAN LAUT DALAM NEGERI'!I20,PELRA!K20,PERINTIS!I20,'ANGKUTAN PENYEBRANGAN'!I20)</f>
        <v>0</v>
      </c>
      <c r="T20" s="38">
        <f>SUM('ANGKUTAN LAUT LUAR NEGERI'!J20,'ANGKUTAN LAUT DALAM NEGERI'!J20,PELRA!L20,PERINTIS!J20,'ANGKUTAN PENYEBRANGAN'!J20)</f>
        <v>0</v>
      </c>
      <c r="U20" s="39">
        <f>SUM('ANGKUTAN LAUT LUAR NEGERI'!K20,'ANGKUTAN LAUT DALAM NEGERI'!K20,PELRA!M20,PERINTIS!K20,'ANGKUTAN PENYEBRANGAN'!K20)</f>
        <v>0</v>
      </c>
    </row>
    <row r="21" ht="17.25" customHeight="1" spans="1:21">
      <c r="A21" s="40" t="s">
        <v>26</v>
      </c>
      <c r="B21" s="41">
        <f t="shared" ref="B21:U21" si="1">SUM(B9:B20)</f>
        <v>1</v>
      </c>
      <c r="C21" s="41">
        <f t="shared" si="1"/>
        <v>4</v>
      </c>
      <c r="D21" s="41">
        <f t="shared" si="1"/>
        <v>28</v>
      </c>
      <c r="E21" s="41">
        <f t="shared" si="1"/>
        <v>22</v>
      </c>
      <c r="F21" s="41">
        <f t="shared" si="1"/>
        <v>38</v>
      </c>
      <c r="G21" s="41">
        <f t="shared" si="1"/>
        <v>93</v>
      </c>
      <c r="H21" s="41">
        <f t="shared" si="1"/>
        <v>79819</v>
      </c>
      <c r="I21" s="41">
        <f t="shared" si="1"/>
        <v>787</v>
      </c>
      <c r="J21" s="41">
        <f t="shared" si="1"/>
        <v>960</v>
      </c>
      <c r="K21" s="41">
        <f t="shared" si="1"/>
        <v>0</v>
      </c>
      <c r="L21" s="41">
        <f t="shared" si="1"/>
        <v>218</v>
      </c>
      <c r="M21" s="41">
        <f t="shared" si="1"/>
        <v>46</v>
      </c>
      <c r="N21" s="41">
        <f t="shared" si="1"/>
        <v>227</v>
      </c>
      <c r="O21" s="41">
        <f t="shared" si="1"/>
        <v>0</v>
      </c>
      <c r="P21" s="41">
        <f t="shared" si="1"/>
        <v>30</v>
      </c>
      <c r="Q21" s="41">
        <f t="shared" si="1"/>
        <v>99</v>
      </c>
      <c r="R21" s="41">
        <f t="shared" si="1"/>
        <v>41</v>
      </c>
      <c r="S21" s="41">
        <f t="shared" si="1"/>
        <v>2373</v>
      </c>
      <c r="T21" s="42">
        <f t="shared" ref="T21" si="2">SUM(T9:T20)</f>
        <v>1097</v>
      </c>
      <c r="U21" s="43">
        <f t="shared" si="1"/>
        <v>2177</v>
      </c>
    </row>
    <row r="22" ht="15" spans="1:21">
      <c r="A22" s="44"/>
      <c r="B22" s="45"/>
      <c r="C22" s="45"/>
      <c r="D22" s="45"/>
      <c r="E22" s="45"/>
      <c r="F22" s="45"/>
      <c r="G22" s="45"/>
      <c r="H22" s="46"/>
      <c r="I22" s="46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ht="15" spans="1:21">
      <c r="A23" s="3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</row>
    <row r="24" ht="14.25" spans="1:21">
      <c r="A24" s="6" t="s">
        <v>5</v>
      </c>
      <c r="B24" s="7" t="s">
        <v>55</v>
      </c>
      <c r="C24" s="8"/>
      <c r="D24" s="8"/>
      <c r="E24" s="8"/>
      <c r="F24" s="9"/>
      <c r="G24" s="7" t="s">
        <v>56</v>
      </c>
      <c r="H24" s="9"/>
      <c r="I24" s="7" t="s">
        <v>39</v>
      </c>
      <c r="J24" s="8"/>
      <c r="K24" s="8"/>
      <c r="L24" s="8"/>
      <c r="M24" s="9"/>
      <c r="N24" s="7" t="s">
        <v>40</v>
      </c>
      <c r="O24" s="8"/>
      <c r="P24" s="8"/>
      <c r="Q24" s="8"/>
      <c r="R24" s="9"/>
      <c r="S24" s="7" t="s">
        <v>38</v>
      </c>
      <c r="T24" s="8"/>
      <c r="U24" s="10"/>
    </row>
    <row r="25" spans="1:21">
      <c r="A25" s="11"/>
      <c r="B25" s="12" t="s">
        <v>57</v>
      </c>
      <c r="C25" s="12" t="s">
        <v>58</v>
      </c>
      <c r="D25" s="13" t="s">
        <v>59</v>
      </c>
      <c r="E25" s="13" t="s">
        <v>47</v>
      </c>
      <c r="F25" s="13" t="s">
        <v>60</v>
      </c>
      <c r="G25" s="12" t="s">
        <v>61</v>
      </c>
      <c r="H25" s="13" t="s">
        <v>62</v>
      </c>
      <c r="I25" s="14" t="s">
        <v>63</v>
      </c>
      <c r="J25" s="15"/>
      <c r="K25" s="12" t="s">
        <v>64</v>
      </c>
      <c r="L25" s="14" t="s">
        <v>65</v>
      </c>
      <c r="M25" s="15"/>
      <c r="N25" s="14" t="s">
        <v>63</v>
      </c>
      <c r="O25" s="15"/>
      <c r="P25" s="12" t="s">
        <v>64</v>
      </c>
      <c r="Q25" s="14" t="s">
        <v>65</v>
      </c>
      <c r="R25" s="15"/>
      <c r="S25" s="16" t="s">
        <v>43</v>
      </c>
      <c r="T25" s="14" t="s">
        <v>44</v>
      </c>
      <c r="U25" s="17" t="s">
        <v>45</v>
      </c>
    </row>
    <row r="26" ht="14.25" spans="1:21">
      <c r="A26" s="18"/>
      <c r="B26" s="19"/>
      <c r="C26" s="19"/>
      <c r="D26" s="20"/>
      <c r="E26" s="20"/>
      <c r="F26" s="20"/>
      <c r="G26" s="19"/>
      <c r="H26" s="20"/>
      <c r="I26" s="20" t="s">
        <v>41</v>
      </c>
      <c r="J26" s="20" t="s">
        <v>42</v>
      </c>
      <c r="K26" s="19"/>
      <c r="L26" s="20" t="s">
        <v>48</v>
      </c>
      <c r="M26" s="20" t="s">
        <v>51</v>
      </c>
      <c r="N26" s="20" t="s">
        <v>41</v>
      </c>
      <c r="O26" s="20" t="s">
        <v>42</v>
      </c>
      <c r="P26" s="19"/>
      <c r="Q26" s="20" t="s">
        <v>48</v>
      </c>
      <c r="R26" s="20" t="s">
        <v>51</v>
      </c>
      <c r="S26" s="20" t="s">
        <v>66</v>
      </c>
      <c r="T26" s="21" t="s">
        <v>67</v>
      </c>
      <c r="U26" s="22" t="s">
        <v>67</v>
      </c>
    </row>
    <row r="27" ht="14.25" spans="1:21">
      <c r="A27" s="23" t="s">
        <v>14</v>
      </c>
      <c r="B27" s="24">
        <f>SUM('ANGKUTAN LAUT LUAR NEGERI'!C27)</f>
        <v>0</v>
      </c>
      <c r="C27" s="24">
        <f>SUM('ANGKUTAN LAUT DALAM NEGERI'!C27)</f>
        <v>0</v>
      </c>
      <c r="D27" s="24">
        <f>SUM(PELRA!C27)</f>
        <v>1</v>
      </c>
      <c r="E27" s="24">
        <f>SUM(PERINTIS!C27)</f>
        <v>0</v>
      </c>
      <c r="F27" s="24">
        <f>SUM('ANGKUTAN PENYEBRANGAN'!C27)</f>
        <v>0</v>
      </c>
      <c r="G27" s="24">
        <f>SUM(B27:F27)</f>
        <v>1</v>
      </c>
      <c r="H27" s="25">
        <f>SUM('ANGKUTAN LAUT LUAR NEGERI'!D27,'ANGKUTAN LAUT DALAM NEGERI'!D27,PELRA!D27,PERINTIS!D27,'ANGKUTAN PENYEBRANGAN'!D27)</f>
        <v>22</v>
      </c>
      <c r="I27" s="25">
        <f>SUM(PERINTIS!E27,PELRA!E27,'ANGKUTAN LAUT DALAM NEGERI'!E27,'ANGKUTAN LAUT LUAR NEGERI'!E27)</f>
        <v>0</v>
      </c>
      <c r="J27" s="25">
        <f>SUM(PERINTIS!F27,PELRA!F27,'ANGKUTAN LAUT DALAM NEGERI'!F27,'ANGKUTAN LAUT LUAR NEGERI'!F27)</f>
        <v>0</v>
      </c>
      <c r="K27" s="24">
        <f>SUM(PELRA!I27)</f>
        <v>0</v>
      </c>
      <c r="L27" s="24">
        <f>SUM(PERINTIS!L27,'ANGKUTAN PENYEBRANGAN'!F27)</f>
        <v>0</v>
      </c>
      <c r="M27" s="24">
        <f>SUM('ANGKUTAN PENYEBRANGAN'!E27)</f>
        <v>0</v>
      </c>
      <c r="N27" s="25">
        <f>SUM(PERINTIS!G27,PELRA!G27,'ANGKUTAN LAUT DALAM NEGERI'!G27,'ANGKUTAN LAUT LUAR NEGERI'!G27)</f>
        <v>25</v>
      </c>
      <c r="O27" s="24">
        <f>SUM(PERINTIS!H27,PELRA!H27,'ANGKUTAN LAUT DALAM NEGERI'!H27,'ANGKUTAN LAUT LUAR NEGERI'!H27)</f>
        <v>0</v>
      </c>
      <c r="P27" s="26">
        <f>SUM(PELRA!J27)</f>
        <v>0</v>
      </c>
      <c r="Q27" s="24">
        <f>SUM(PERINTIS!M27,'ANGKUTAN PENYEBRANGAN'!H27)</f>
        <v>0</v>
      </c>
      <c r="R27" s="24">
        <f>SUM('ANGKUTAN PENYEBRANGAN'!G27)</f>
        <v>0</v>
      </c>
      <c r="S27" s="24">
        <f>SUM('ANGKUTAN LAUT LUAR NEGERI'!I27,'ANGKUTAN LAUT DALAM NEGERI'!I27,PELRA!K27,PERINTIS!I27,'ANGKUTAN PENYEBRANGAN'!I27)</f>
        <v>0</v>
      </c>
      <c r="T27" s="26">
        <f>SUM('ANGKUTAN LAUT LUAR NEGERI'!J27,'ANGKUTAN LAUT DALAM NEGERI'!J27,PELRA!L27,PERINTIS!J27,'ANGKUTAN PENYEBRANGAN'!J27)</f>
        <v>0</v>
      </c>
      <c r="U27" s="27">
        <f>SUM('ANGKUTAN LAUT LUAR NEGERI'!K27,'ANGKUTAN LAUT DALAM NEGERI'!K27,PELRA!M27,PERINTIS!K27,'ANGKUTAN PENYEBRANGAN'!K27)</f>
        <v>0</v>
      </c>
    </row>
    <row r="28" spans="1:21">
      <c r="A28" s="28" t="s">
        <v>15</v>
      </c>
      <c r="B28" s="47">
        <f>SUM('ANGKUTAN LAUT LUAR NEGERI'!C28)</f>
        <v>0</v>
      </c>
      <c r="C28" s="47">
        <f>SUM('ANGKUTAN LAUT DALAM NEGERI'!C28)</f>
        <v>0</v>
      </c>
      <c r="D28" s="47">
        <f>SUM(PELRA!C28)</f>
        <v>3</v>
      </c>
      <c r="E28" s="47">
        <f>SUM(PERINTIS!C28)</f>
        <v>0</v>
      </c>
      <c r="F28" s="47">
        <f>SUM('ANGKUTAN PENYEBRANGAN'!C28)</f>
        <v>0</v>
      </c>
      <c r="G28" s="47">
        <f t="shared" ref="G28:G38" si="3">SUM(B28:F28)</f>
        <v>3</v>
      </c>
      <c r="H28" s="48">
        <f>SUM('ANGKUTAN LAUT LUAR NEGERI'!D28,'ANGKUTAN LAUT DALAM NEGERI'!D28,PELRA!D28,PERINTIS!D28,'ANGKUTAN PENYEBRANGAN'!D28)</f>
        <v>59</v>
      </c>
      <c r="I28" s="30">
        <f>SUM(PERINTIS!E28,PELRA!E28,'ANGKUTAN LAUT DALAM NEGERI'!E28,'ANGKUTAN LAUT LUAR NEGERI'!E28)</f>
        <v>0</v>
      </c>
      <c r="J28" s="30">
        <f>SUM(PERINTIS!F28,PELRA!F28,'ANGKUTAN LAUT DALAM NEGERI'!F28,'ANGKUTAN LAUT LUAR NEGERI'!F28)</f>
        <v>0</v>
      </c>
      <c r="K28" s="47">
        <f>SUM(PELRA!I28)</f>
        <v>0</v>
      </c>
      <c r="L28" s="47">
        <f>SUM(PERINTIS!L28,'ANGKUTAN PENYEBRANGAN'!F28)</f>
        <v>0</v>
      </c>
      <c r="M28" s="47">
        <f>SUM('ANGKUTAN PENYEBRANGAN'!E28)</f>
        <v>0</v>
      </c>
      <c r="N28" s="30">
        <f>SUM(PERINTIS!G28,PELRA!G28,'ANGKUTAN LAUT DALAM NEGERI'!G28,'ANGKUTAN LAUT LUAR NEGERI'!G28)</f>
        <v>69</v>
      </c>
      <c r="O28" s="29">
        <f>SUM(PERINTIS!H28,PELRA!H28,'ANGKUTAN LAUT DALAM NEGERI'!H28,'ANGKUTAN LAUT LUAR NEGERI'!H28)</f>
        <v>0</v>
      </c>
      <c r="P28" s="49">
        <f>SUM(PELRA!J28)</f>
        <v>0</v>
      </c>
      <c r="Q28" s="47">
        <f>SUM(PERINTIS!M28,'ANGKUTAN PENYEBRANGAN'!H28)</f>
        <v>0</v>
      </c>
      <c r="R28" s="47">
        <f>SUM('ANGKUTAN PENYEBRANGAN'!G28)</f>
        <v>0</v>
      </c>
      <c r="S28" s="47">
        <f>SUM('ANGKUTAN LAUT LUAR NEGERI'!I28,'ANGKUTAN LAUT DALAM NEGERI'!I28,PELRA!K28,PERINTIS!I28,'ANGKUTAN PENYEBRANGAN'!I28)</f>
        <v>0</v>
      </c>
      <c r="T28" s="49">
        <f>SUM('ANGKUTAN LAUT LUAR NEGERI'!J28,'ANGKUTAN LAUT DALAM NEGERI'!J28,PELRA!L28,PERINTIS!J28,'ANGKUTAN PENYEBRANGAN'!J28)</f>
        <v>0</v>
      </c>
      <c r="U28" s="50">
        <f>SUM('ANGKUTAN LAUT LUAR NEGERI'!K28,'ANGKUTAN LAUT DALAM NEGERI'!K28,PELRA!M28,PERINTIS!K28,'ANGKUTAN PENYEBRANGAN'!K28)</f>
        <v>0</v>
      </c>
    </row>
    <row r="29" spans="1:21">
      <c r="A29" s="33" t="s">
        <v>16</v>
      </c>
      <c r="B29" s="29">
        <f>SUM('ANGKUTAN LAUT LUAR NEGERI'!C29)</f>
        <v>0</v>
      </c>
      <c r="C29" s="29">
        <f>SUM('ANGKUTAN LAUT DALAM NEGERI'!C29)</f>
        <v>0</v>
      </c>
      <c r="D29" s="29">
        <f>SUM(PELRA!C29)</f>
        <v>0</v>
      </c>
      <c r="E29" s="29">
        <f>SUM(PERINTIS!C29)</f>
        <v>0</v>
      </c>
      <c r="F29" s="29">
        <f>SUM('ANGKUTAN PENYEBRANGAN'!C29)</f>
        <v>0</v>
      </c>
      <c r="G29" s="29">
        <f t="shared" si="3"/>
        <v>0</v>
      </c>
      <c r="H29" s="30">
        <f>SUM('ANGKUTAN LAUT LUAR NEGERI'!D29,'ANGKUTAN LAUT DALAM NEGERI'!D29,PELRA!D29,PERINTIS!D29,'ANGKUTAN PENYEBRANGAN'!D29)</f>
        <v>0</v>
      </c>
      <c r="I29" s="30">
        <f>SUM(PERINTIS!E29,PELRA!E29,'ANGKUTAN LAUT DALAM NEGERI'!E29,'ANGKUTAN LAUT LUAR NEGERI'!E29)</f>
        <v>0</v>
      </c>
      <c r="J29" s="30">
        <f>SUM(PERINTIS!F29,PELRA!F29,'ANGKUTAN LAUT DALAM NEGERI'!F29,'ANGKUTAN LAUT LUAR NEGERI'!F29)</f>
        <v>0</v>
      </c>
      <c r="K29" s="29">
        <f>SUM(PELRA!I29)</f>
        <v>0</v>
      </c>
      <c r="L29" s="29">
        <f>SUM(PERINTIS!L29,'ANGKUTAN PENYEBRANGAN'!F29)</f>
        <v>0</v>
      </c>
      <c r="M29" s="29">
        <f>SUM('ANGKUTAN PENYEBRANGAN'!E29)</f>
        <v>0</v>
      </c>
      <c r="N29" s="30">
        <f>SUM(PERINTIS!G29,PELRA!G29,'ANGKUTAN LAUT DALAM NEGERI'!G29,'ANGKUTAN LAUT LUAR NEGERI'!G29)</f>
        <v>0</v>
      </c>
      <c r="O29" s="29">
        <f>SUM(PERINTIS!H29,PELRA!H29,'ANGKUTAN LAUT DALAM NEGERI'!H29,'ANGKUTAN LAUT LUAR NEGERI'!H29)</f>
        <v>0</v>
      </c>
      <c r="P29" s="31">
        <f>SUM(PELRA!J29)</f>
        <v>0</v>
      </c>
      <c r="Q29" s="29">
        <f>SUM(PERINTIS!M29,'ANGKUTAN PENYEBRANGAN'!H29)</f>
        <v>0</v>
      </c>
      <c r="R29" s="29">
        <f>SUM('ANGKUTAN PENYEBRANGAN'!G29)</f>
        <v>0</v>
      </c>
      <c r="S29" s="29">
        <f>SUM('ANGKUTAN LAUT LUAR NEGERI'!I29,'ANGKUTAN LAUT DALAM NEGERI'!I29,PELRA!K29,PERINTIS!I29,'ANGKUTAN PENYEBRANGAN'!I29)</f>
        <v>0</v>
      </c>
      <c r="T29" s="31">
        <f>SUM('ANGKUTAN LAUT LUAR NEGERI'!J29,'ANGKUTAN LAUT DALAM NEGERI'!J29,PELRA!L29,PERINTIS!J29,'ANGKUTAN PENYEBRANGAN'!J29)</f>
        <v>0</v>
      </c>
      <c r="U29" s="32">
        <f>SUM('ANGKUTAN LAUT LUAR NEGERI'!K29,'ANGKUTAN LAUT DALAM NEGERI'!K29,PELRA!M29,PERINTIS!K29,'ANGKUTAN PENYEBRANGAN'!K29)</f>
        <v>0</v>
      </c>
    </row>
    <row r="30" spans="1:21">
      <c r="A30" s="28" t="s">
        <v>17</v>
      </c>
      <c r="B30" s="29">
        <f>SUM('ANGKUTAN LAUT LUAR NEGERI'!C30)</f>
        <v>0</v>
      </c>
      <c r="C30" s="29">
        <f>SUM('ANGKUTAN LAUT DALAM NEGERI'!C30)</f>
        <v>0</v>
      </c>
      <c r="D30" s="29">
        <f>SUM(PELRA!C30)</f>
        <v>0</v>
      </c>
      <c r="E30" s="29">
        <f>SUM(PERINTIS!C30)</f>
        <v>0</v>
      </c>
      <c r="F30" s="29">
        <f>SUM('ANGKUTAN PENYEBRANGAN'!C30)</f>
        <v>0</v>
      </c>
      <c r="G30" s="29">
        <f t="shared" si="3"/>
        <v>0</v>
      </c>
      <c r="H30" s="30">
        <f>SUM('ANGKUTAN LAUT LUAR NEGERI'!D30,'ANGKUTAN LAUT DALAM NEGERI'!D30,PELRA!D30,PERINTIS!D30,'ANGKUTAN PENYEBRANGAN'!D30)</f>
        <v>0</v>
      </c>
      <c r="I30" s="30">
        <f>SUM(PERINTIS!E30,PELRA!E30,'ANGKUTAN LAUT DALAM NEGERI'!E30,'ANGKUTAN LAUT LUAR NEGERI'!E30)</f>
        <v>0</v>
      </c>
      <c r="J30" s="30">
        <f>SUM(PERINTIS!F30,PELRA!F30,'ANGKUTAN LAUT DALAM NEGERI'!F30,'ANGKUTAN LAUT LUAR NEGERI'!F30)</f>
        <v>0</v>
      </c>
      <c r="K30" s="29">
        <f>SUM(PELRA!I30)</f>
        <v>0</v>
      </c>
      <c r="L30" s="29">
        <f>SUM(PERINTIS!L30,'ANGKUTAN PENYEBRANGAN'!F30)</f>
        <v>0</v>
      </c>
      <c r="M30" s="29">
        <f>SUM('ANGKUTAN PENYEBRANGAN'!E30)</f>
        <v>0</v>
      </c>
      <c r="N30" s="30">
        <f>SUM(PERINTIS!G30,PELRA!G30,'ANGKUTAN LAUT DALAM NEGERI'!G30,'ANGKUTAN LAUT LUAR NEGERI'!G30)</f>
        <v>0</v>
      </c>
      <c r="O30" s="29">
        <f>SUM(PERINTIS!H30,PELRA!H30,'ANGKUTAN LAUT DALAM NEGERI'!H30,'ANGKUTAN LAUT LUAR NEGERI'!H30)</f>
        <v>0</v>
      </c>
      <c r="P30" s="31">
        <f>SUM(PELRA!J30)</f>
        <v>0</v>
      </c>
      <c r="Q30" s="29">
        <f>SUM(PERINTIS!M30,'ANGKUTAN PENYEBRANGAN'!H30)</f>
        <v>0</v>
      </c>
      <c r="R30" s="29">
        <f>SUM('ANGKUTAN PENYEBRANGAN'!G30)</f>
        <v>0</v>
      </c>
      <c r="S30" s="29">
        <f>SUM('ANGKUTAN LAUT LUAR NEGERI'!I30,'ANGKUTAN LAUT DALAM NEGERI'!I30,PELRA!K30,PERINTIS!I30,'ANGKUTAN PENYEBRANGAN'!I30)</f>
        <v>0</v>
      </c>
      <c r="T30" s="31">
        <f>SUM('ANGKUTAN LAUT LUAR NEGERI'!J30,'ANGKUTAN LAUT DALAM NEGERI'!J30,PELRA!L30,PERINTIS!J30,'ANGKUTAN PENYEBRANGAN'!J30)</f>
        <v>0</v>
      </c>
      <c r="U30" s="32">
        <f>SUM('ANGKUTAN LAUT LUAR NEGERI'!K30,'ANGKUTAN LAUT DALAM NEGERI'!K30,PELRA!M30,PERINTIS!K30,'ANGKUTAN PENYEBRANGAN'!K30)</f>
        <v>0</v>
      </c>
    </row>
    <row r="31" spans="1:21">
      <c r="A31" s="28" t="s">
        <v>18</v>
      </c>
      <c r="B31" s="29">
        <f>SUM('ANGKUTAN LAUT LUAR NEGERI'!C31)</f>
        <v>0</v>
      </c>
      <c r="C31" s="29">
        <f>SUM('ANGKUTAN LAUT DALAM NEGERI'!C31)</f>
        <v>0</v>
      </c>
      <c r="D31" s="29">
        <f>SUM(PELRA!C31)</f>
        <v>0</v>
      </c>
      <c r="E31" s="29">
        <f>SUM(PERINTIS!C31)</f>
        <v>0</v>
      </c>
      <c r="F31" s="29">
        <f>SUM('ANGKUTAN PENYEBRANGAN'!C31)</f>
        <v>0</v>
      </c>
      <c r="G31" s="29">
        <f t="shared" si="3"/>
        <v>0</v>
      </c>
      <c r="H31" s="30">
        <f>SUM('ANGKUTAN LAUT LUAR NEGERI'!D31,'ANGKUTAN LAUT DALAM NEGERI'!D31,PELRA!D31,PERINTIS!D31,'ANGKUTAN PENYEBRANGAN'!D31)</f>
        <v>0</v>
      </c>
      <c r="I31" s="30">
        <f>SUM(PERINTIS!E31,PELRA!E31,'ANGKUTAN LAUT DALAM NEGERI'!E31,'ANGKUTAN LAUT LUAR NEGERI'!E31)</f>
        <v>0</v>
      </c>
      <c r="J31" s="30">
        <f>SUM(PERINTIS!F31,PELRA!F31,'ANGKUTAN LAUT DALAM NEGERI'!F31,'ANGKUTAN LAUT LUAR NEGERI'!F31)</f>
        <v>0</v>
      </c>
      <c r="K31" s="29">
        <f>SUM(PELRA!I31)</f>
        <v>0</v>
      </c>
      <c r="L31" s="29">
        <f>SUM(PERINTIS!L31,'ANGKUTAN PENYEBRANGAN'!F31)</f>
        <v>0</v>
      </c>
      <c r="M31" s="29">
        <f>SUM('ANGKUTAN PENYEBRANGAN'!E31)</f>
        <v>0</v>
      </c>
      <c r="N31" s="30">
        <f>SUM(PERINTIS!G31,PELRA!G31,'ANGKUTAN LAUT DALAM NEGERI'!G31,'ANGKUTAN LAUT LUAR NEGERI'!G31)</f>
        <v>0</v>
      </c>
      <c r="O31" s="29">
        <f>SUM(PERINTIS!H31,PELRA!H31,'ANGKUTAN LAUT DALAM NEGERI'!H31,'ANGKUTAN LAUT LUAR NEGERI'!H31)</f>
        <v>0</v>
      </c>
      <c r="P31" s="31">
        <f>SUM(PELRA!J31)</f>
        <v>0</v>
      </c>
      <c r="Q31" s="29">
        <f>SUM(PERINTIS!M31,'ANGKUTAN PENYEBRANGAN'!H31)</f>
        <v>0</v>
      </c>
      <c r="R31" s="29">
        <f>SUM('ANGKUTAN PENYEBRANGAN'!G31)</f>
        <v>0</v>
      </c>
      <c r="S31" s="29">
        <f>SUM('ANGKUTAN LAUT LUAR NEGERI'!I31,'ANGKUTAN LAUT DALAM NEGERI'!I31,PELRA!K31,PERINTIS!I31,'ANGKUTAN PENYEBRANGAN'!I31)</f>
        <v>0</v>
      </c>
      <c r="T31" s="31">
        <f>SUM('ANGKUTAN LAUT LUAR NEGERI'!J31,'ANGKUTAN LAUT DALAM NEGERI'!J31,PELRA!L31,PERINTIS!J31,'ANGKUTAN PENYEBRANGAN'!J31)</f>
        <v>0</v>
      </c>
      <c r="U31" s="32">
        <f>SUM('ANGKUTAN LAUT LUAR NEGERI'!K31,'ANGKUTAN LAUT DALAM NEGERI'!K31,PELRA!M31,PERINTIS!K31,'ANGKUTAN PENYEBRANGAN'!K31)</f>
        <v>0</v>
      </c>
    </row>
    <row r="32" spans="1:21">
      <c r="A32" s="34" t="s">
        <v>19</v>
      </c>
      <c r="B32" s="29">
        <f>SUM('ANGKUTAN LAUT LUAR NEGERI'!C32)</f>
        <v>0</v>
      </c>
      <c r="C32" s="29">
        <f>SUM('ANGKUTAN LAUT DALAM NEGERI'!C32)</f>
        <v>0</v>
      </c>
      <c r="D32" s="29">
        <f>SUM(PELRA!C32)</f>
        <v>0</v>
      </c>
      <c r="E32" s="29">
        <f>SUM(PERINTIS!C32)</f>
        <v>0</v>
      </c>
      <c r="F32" s="29">
        <f>SUM('ANGKUTAN PENYEBRANGAN'!C32)</f>
        <v>0</v>
      </c>
      <c r="G32" s="29">
        <f t="shared" si="3"/>
        <v>0</v>
      </c>
      <c r="H32" s="30">
        <f>SUM('ANGKUTAN LAUT LUAR NEGERI'!D32,'ANGKUTAN LAUT DALAM NEGERI'!D32,PELRA!D32,PERINTIS!D32,'ANGKUTAN PENYEBRANGAN'!D32)</f>
        <v>0</v>
      </c>
      <c r="I32" s="30">
        <f>SUM(PERINTIS!E32,PELRA!E32,'ANGKUTAN LAUT DALAM NEGERI'!E32,'ANGKUTAN LAUT LUAR NEGERI'!E32)</f>
        <v>0</v>
      </c>
      <c r="J32" s="30">
        <f>SUM(PERINTIS!F32,PELRA!F32,'ANGKUTAN LAUT DALAM NEGERI'!F32,'ANGKUTAN LAUT LUAR NEGERI'!F32)</f>
        <v>0</v>
      </c>
      <c r="K32" s="29">
        <f>SUM(PELRA!I32)</f>
        <v>0</v>
      </c>
      <c r="L32" s="29">
        <f>SUM(PERINTIS!L32,'ANGKUTAN PENYEBRANGAN'!F32)</f>
        <v>0</v>
      </c>
      <c r="M32" s="29">
        <f>SUM('ANGKUTAN PENYEBRANGAN'!E32)</f>
        <v>0</v>
      </c>
      <c r="N32" s="30">
        <f>SUM(PERINTIS!G32,PELRA!G32,'ANGKUTAN LAUT DALAM NEGERI'!G32,'ANGKUTAN LAUT LUAR NEGERI'!G32)</f>
        <v>0</v>
      </c>
      <c r="O32" s="29">
        <f>SUM(PERINTIS!H32,PELRA!H32,'ANGKUTAN LAUT DALAM NEGERI'!H32,'ANGKUTAN LAUT LUAR NEGERI'!H32)</f>
        <v>0</v>
      </c>
      <c r="P32" s="31">
        <f>SUM(PELRA!J32)</f>
        <v>0</v>
      </c>
      <c r="Q32" s="29">
        <f>SUM(PERINTIS!M32,'ANGKUTAN PENYEBRANGAN'!H32)</f>
        <v>0</v>
      </c>
      <c r="R32" s="29">
        <f>SUM('ANGKUTAN PENYEBRANGAN'!G32)</f>
        <v>0</v>
      </c>
      <c r="S32" s="29">
        <f>SUM('ANGKUTAN LAUT LUAR NEGERI'!I32,'ANGKUTAN LAUT DALAM NEGERI'!I32,PELRA!K32,PERINTIS!I32,'ANGKUTAN PENYEBRANGAN'!I32)</f>
        <v>0</v>
      </c>
      <c r="T32" s="31">
        <f>SUM('ANGKUTAN LAUT LUAR NEGERI'!J32,'ANGKUTAN LAUT DALAM NEGERI'!J32,PELRA!L32,PERINTIS!J32,'ANGKUTAN PENYEBRANGAN'!J32)</f>
        <v>0</v>
      </c>
      <c r="U32" s="32">
        <f>SUM('ANGKUTAN LAUT LUAR NEGERI'!K32,'ANGKUTAN LAUT DALAM NEGERI'!K32,PELRA!M32,PERINTIS!K32,'ANGKUTAN PENYEBRANGAN'!K32)</f>
        <v>0</v>
      </c>
    </row>
    <row r="33" spans="1:21">
      <c r="A33" s="28" t="s">
        <v>20</v>
      </c>
      <c r="B33" s="29">
        <f>SUM('ANGKUTAN LAUT LUAR NEGERI'!C33)</f>
        <v>0</v>
      </c>
      <c r="C33" s="29">
        <f>SUM('ANGKUTAN LAUT DALAM NEGERI'!C33)</f>
        <v>0</v>
      </c>
      <c r="D33" s="29">
        <f>SUM(PELRA!C33)</f>
        <v>0</v>
      </c>
      <c r="E33" s="29">
        <f>SUM(PERINTIS!C33)</f>
        <v>0</v>
      </c>
      <c r="F33" s="29">
        <f>SUM('ANGKUTAN PENYEBRANGAN'!C33)</f>
        <v>0</v>
      </c>
      <c r="G33" s="29">
        <f t="shared" si="3"/>
        <v>0</v>
      </c>
      <c r="H33" s="30">
        <f>SUM('ANGKUTAN LAUT LUAR NEGERI'!D33,'ANGKUTAN LAUT DALAM NEGERI'!D33,PELRA!D33,PERINTIS!D33,'ANGKUTAN PENYEBRANGAN'!D33)</f>
        <v>0</v>
      </c>
      <c r="I33" s="30">
        <f>SUM(PERINTIS!E33,PELRA!E33,'ANGKUTAN LAUT DALAM NEGERI'!E33,'ANGKUTAN LAUT LUAR NEGERI'!E33)</f>
        <v>0</v>
      </c>
      <c r="J33" s="30">
        <f>SUM(PERINTIS!F33,PELRA!F33,'ANGKUTAN LAUT DALAM NEGERI'!F33,'ANGKUTAN LAUT LUAR NEGERI'!F33)</f>
        <v>0</v>
      </c>
      <c r="K33" s="29">
        <f>SUM(PELRA!I33)</f>
        <v>0</v>
      </c>
      <c r="L33" s="29">
        <f>SUM(PERINTIS!L33,'ANGKUTAN PENYEBRANGAN'!F33)</f>
        <v>0</v>
      </c>
      <c r="M33" s="29">
        <f>SUM('ANGKUTAN PENYEBRANGAN'!E33)</f>
        <v>0</v>
      </c>
      <c r="N33" s="30">
        <f>SUM(PERINTIS!G33,PELRA!G33,'ANGKUTAN LAUT DALAM NEGERI'!G33,'ANGKUTAN LAUT LUAR NEGERI'!G33)</f>
        <v>0</v>
      </c>
      <c r="O33" s="29">
        <f>SUM(PERINTIS!H33,PELRA!H33,'ANGKUTAN LAUT DALAM NEGERI'!H33,'ANGKUTAN LAUT LUAR NEGERI'!H33)</f>
        <v>0</v>
      </c>
      <c r="P33" s="31">
        <f>SUM(PELRA!J33)</f>
        <v>0</v>
      </c>
      <c r="Q33" s="29">
        <f>SUM(PERINTIS!M33,'ANGKUTAN PENYEBRANGAN'!H33)</f>
        <v>0</v>
      </c>
      <c r="R33" s="29">
        <f>SUM('ANGKUTAN PENYEBRANGAN'!G33)</f>
        <v>0</v>
      </c>
      <c r="S33" s="29">
        <f>SUM('ANGKUTAN LAUT LUAR NEGERI'!I33,'ANGKUTAN LAUT DALAM NEGERI'!I33,PELRA!K33,PERINTIS!I33,'ANGKUTAN PENYEBRANGAN'!I33)</f>
        <v>0</v>
      </c>
      <c r="T33" s="31">
        <f>SUM('ANGKUTAN LAUT LUAR NEGERI'!J33,'ANGKUTAN LAUT DALAM NEGERI'!J33,PELRA!L33,PERINTIS!J33,'ANGKUTAN PENYEBRANGAN'!J33)</f>
        <v>0</v>
      </c>
      <c r="U33" s="32">
        <f>SUM('ANGKUTAN LAUT LUAR NEGERI'!K33,'ANGKUTAN LAUT DALAM NEGERI'!K33,PELRA!M33,PERINTIS!K33,'ANGKUTAN PENYEBRANGAN'!K33)</f>
        <v>0</v>
      </c>
    </row>
    <row r="34" spans="1:21">
      <c r="A34" s="33" t="s">
        <v>21</v>
      </c>
      <c r="B34" s="29">
        <f>SUM('ANGKUTAN LAUT LUAR NEGERI'!C34)</f>
        <v>0</v>
      </c>
      <c r="C34" s="29">
        <f>SUM('ANGKUTAN LAUT DALAM NEGERI'!C34)</f>
        <v>0</v>
      </c>
      <c r="D34" s="29">
        <f>SUM(PELRA!C34)</f>
        <v>0</v>
      </c>
      <c r="E34" s="29">
        <f>SUM(PERINTIS!C34)</f>
        <v>0</v>
      </c>
      <c r="F34" s="29">
        <f>SUM('ANGKUTAN PENYEBRANGAN'!C34)</f>
        <v>0</v>
      </c>
      <c r="G34" s="29">
        <f t="shared" si="3"/>
        <v>0</v>
      </c>
      <c r="H34" s="30">
        <f>SUM('ANGKUTAN LAUT LUAR NEGERI'!D34,'ANGKUTAN LAUT DALAM NEGERI'!D34,PELRA!D34,PERINTIS!D34,'ANGKUTAN PENYEBRANGAN'!D34)</f>
        <v>0</v>
      </c>
      <c r="I34" s="30">
        <f>SUM(PERINTIS!E34,PELRA!E34,'ANGKUTAN LAUT DALAM NEGERI'!E34,'ANGKUTAN LAUT LUAR NEGERI'!E34)</f>
        <v>0</v>
      </c>
      <c r="J34" s="30">
        <f>SUM(PERINTIS!F34,PELRA!F34,'ANGKUTAN LAUT DALAM NEGERI'!F34,'ANGKUTAN LAUT LUAR NEGERI'!F34)</f>
        <v>0</v>
      </c>
      <c r="K34" s="29">
        <f>SUM(PELRA!I34)</f>
        <v>0</v>
      </c>
      <c r="L34" s="29">
        <f>SUM(PERINTIS!L34,'ANGKUTAN PENYEBRANGAN'!F34)</f>
        <v>0</v>
      </c>
      <c r="M34" s="29">
        <f>SUM('ANGKUTAN PENYEBRANGAN'!E34)</f>
        <v>0</v>
      </c>
      <c r="N34" s="30">
        <f>SUM(PERINTIS!G34,PELRA!G34,'ANGKUTAN LAUT DALAM NEGERI'!G34,'ANGKUTAN LAUT LUAR NEGERI'!G34)</f>
        <v>0</v>
      </c>
      <c r="O34" s="29">
        <f>SUM(PERINTIS!H34,PELRA!H34,'ANGKUTAN LAUT DALAM NEGERI'!H34,'ANGKUTAN LAUT LUAR NEGERI'!H34)</f>
        <v>0</v>
      </c>
      <c r="P34" s="31">
        <f>SUM(PELRA!J34)</f>
        <v>0</v>
      </c>
      <c r="Q34" s="29">
        <f>SUM(PERINTIS!M34,'ANGKUTAN PENYEBRANGAN'!H34)</f>
        <v>0</v>
      </c>
      <c r="R34" s="29">
        <f>SUM('ANGKUTAN PENYEBRANGAN'!G34)</f>
        <v>0</v>
      </c>
      <c r="S34" s="29">
        <f>SUM('ANGKUTAN LAUT LUAR NEGERI'!I34,'ANGKUTAN LAUT DALAM NEGERI'!I34,PELRA!K34,PERINTIS!I34,'ANGKUTAN PENYEBRANGAN'!I34)</f>
        <v>0</v>
      </c>
      <c r="T34" s="31">
        <f>SUM('ANGKUTAN LAUT LUAR NEGERI'!J34,'ANGKUTAN LAUT DALAM NEGERI'!J34,PELRA!L34,PERINTIS!J34,'ANGKUTAN PENYEBRANGAN'!J34)</f>
        <v>0</v>
      </c>
      <c r="U34" s="32">
        <f>SUM('ANGKUTAN LAUT LUAR NEGERI'!K34,'ANGKUTAN LAUT DALAM NEGERI'!K34,PELRA!M34,PERINTIS!K34,'ANGKUTAN PENYEBRANGAN'!K34)</f>
        <v>0</v>
      </c>
    </row>
    <row r="35" spans="1:21">
      <c r="A35" s="33" t="s">
        <v>22</v>
      </c>
      <c r="B35" s="29">
        <f>SUM('ANGKUTAN LAUT LUAR NEGERI'!C35)</f>
        <v>0</v>
      </c>
      <c r="C35" s="29">
        <f>SUM('ANGKUTAN LAUT DALAM NEGERI'!C35)</f>
        <v>0</v>
      </c>
      <c r="D35" s="29">
        <f>SUM(PELRA!C35)</f>
        <v>0</v>
      </c>
      <c r="E35" s="29">
        <f>SUM(PERINTIS!C35)</f>
        <v>0</v>
      </c>
      <c r="F35" s="29">
        <f>SUM('ANGKUTAN PENYEBRANGAN'!C35)</f>
        <v>0</v>
      </c>
      <c r="G35" s="29">
        <f t="shared" si="3"/>
        <v>0</v>
      </c>
      <c r="H35" s="30">
        <f>SUM('ANGKUTAN LAUT LUAR NEGERI'!D35,'ANGKUTAN LAUT DALAM NEGERI'!D35,PELRA!D35,PERINTIS!D35,'ANGKUTAN PENYEBRANGAN'!D35)</f>
        <v>0</v>
      </c>
      <c r="I35" s="30">
        <f>SUM(PERINTIS!E35,PELRA!E35,'ANGKUTAN LAUT DALAM NEGERI'!E35,'ANGKUTAN LAUT LUAR NEGERI'!E35)</f>
        <v>0</v>
      </c>
      <c r="J35" s="30">
        <f>SUM(PERINTIS!F35,PELRA!F35,'ANGKUTAN LAUT DALAM NEGERI'!F35,'ANGKUTAN LAUT LUAR NEGERI'!F35)</f>
        <v>0</v>
      </c>
      <c r="K35" s="29">
        <f>SUM(PELRA!I35)</f>
        <v>0</v>
      </c>
      <c r="L35" s="29">
        <f>SUM(PERINTIS!L35,'ANGKUTAN PENYEBRANGAN'!F35)</f>
        <v>0</v>
      </c>
      <c r="M35" s="29">
        <f>SUM('ANGKUTAN PENYEBRANGAN'!E35)</f>
        <v>0</v>
      </c>
      <c r="N35" s="30">
        <f>SUM(PERINTIS!G35,PELRA!G35,'ANGKUTAN LAUT DALAM NEGERI'!G35,'ANGKUTAN LAUT LUAR NEGERI'!G35)</f>
        <v>0</v>
      </c>
      <c r="O35" s="29">
        <f>SUM(PERINTIS!H35,PELRA!H35,'ANGKUTAN LAUT DALAM NEGERI'!H35,'ANGKUTAN LAUT LUAR NEGERI'!H35)</f>
        <v>0</v>
      </c>
      <c r="P35" s="31">
        <f>SUM(PELRA!J35)</f>
        <v>0</v>
      </c>
      <c r="Q35" s="29">
        <f>SUM(PERINTIS!M35,'ANGKUTAN PENYEBRANGAN'!H35)</f>
        <v>0</v>
      </c>
      <c r="R35" s="29">
        <f>SUM('ANGKUTAN PENYEBRANGAN'!G35)</f>
        <v>0</v>
      </c>
      <c r="S35" s="29">
        <f>SUM('ANGKUTAN LAUT LUAR NEGERI'!I35,'ANGKUTAN LAUT DALAM NEGERI'!I35,PELRA!K35,PERINTIS!I35,'ANGKUTAN PENYEBRANGAN'!I35)</f>
        <v>0</v>
      </c>
      <c r="T35" s="31">
        <f>SUM('ANGKUTAN LAUT LUAR NEGERI'!J35,'ANGKUTAN LAUT DALAM NEGERI'!J35,PELRA!L35,PERINTIS!J35,'ANGKUTAN PENYEBRANGAN'!J35)</f>
        <v>0</v>
      </c>
      <c r="U35" s="32">
        <f>SUM('ANGKUTAN LAUT LUAR NEGERI'!K35,'ANGKUTAN LAUT DALAM NEGERI'!K35,PELRA!M35,PERINTIS!K35,'ANGKUTAN PENYEBRANGAN'!K35)</f>
        <v>0</v>
      </c>
    </row>
    <row r="36" spans="1:21">
      <c r="A36" s="33" t="s">
        <v>23</v>
      </c>
      <c r="B36" s="29">
        <f>SUM('ANGKUTAN LAUT LUAR NEGERI'!C36)</f>
        <v>0</v>
      </c>
      <c r="C36" s="29">
        <f>SUM('ANGKUTAN LAUT DALAM NEGERI'!C36)</f>
        <v>0</v>
      </c>
      <c r="D36" s="29">
        <f>SUM(PELRA!C36)</f>
        <v>0</v>
      </c>
      <c r="E36" s="29">
        <f>SUM(PERINTIS!C36)</f>
        <v>0</v>
      </c>
      <c r="F36" s="29">
        <f>SUM('ANGKUTAN PENYEBRANGAN'!C36)</f>
        <v>0</v>
      </c>
      <c r="G36" s="29">
        <f t="shared" si="3"/>
        <v>0</v>
      </c>
      <c r="H36" s="30">
        <f>SUM('ANGKUTAN LAUT LUAR NEGERI'!D36,'ANGKUTAN LAUT DALAM NEGERI'!D36,PELRA!D36,PERINTIS!D36,'ANGKUTAN PENYEBRANGAN'!D36)</f>
        <v>0</v>
      </c>
      <c r="I36" s="30">
        <f>SUM(PERINTIS!E36,PELRA!E36,'ANGKUTAN LAUT DALAM NEGERI'!E36,'ANGKUTAN LAUT LUAR NEGERI'!E36)</f>
        <v>0</v>
      </c>
      <c r="J36" s="30">
        <f>SUM(PERINTIS!F36,PELRA!F36,'ANGKUTAN LAUT DALAM NEGERI'!F36,'ANGKUTAN LAUT LUAR NEGERI'!F36)</f>
        <v>0</v>
      </c>
      <c r="K36" s="29">
        <f>SUM(PELRA!I36)</f>
        <v>0</v>
      </c>
      <c r="L36" s="29">
        <f>SUM(PERINTIS!L36,'ANGKUTAN PENYEBRANGAN'!F36)</f>
        <v>0</v>
      </c>
      <c r="M36" s="29">
        <f>SUM('ANGKUTAN PENYEBRANGAN'!E36)</f>
        <v>0</v>
      </c>
      <c r="N36" s="30">
        <f>SUM(PERINTIS!G36,PELRA!G36,'ANGKUTAN LAUT DALAM NEGERI'!G36,'ANGKUTAN LAUT LUAR NEGERI'!G36)</f>
        <v>0</v>
      </c>
      <c r="O36" s="29">
        <f>SUM(PERINTIS!H36,PELRA!H36,'ANGKUTAN LAUT DALAM NEGERI'!H36,'ANGKUTAN LAUT LUAR NEGERI'!H36)</f>
        <v>0</v>
      </c>
      <c r="P36" s="31">
        <f>SUM(PELRA!J36)</f>
        <v>0</v>
      </c>
      <c r="Q36" s="29">
        <f>SUM(PERINTIS!M36,'ANGKUTAN PENYEBRANGAN'!H36)</f>
        <v>0</v>
      </c>
      <c r="R36" s="29">
        <f>SUM('ANGKUTAN PENYEBRANGAN'!G36)</f>
        <v>0</v>
      </c>
      <c r="S36" s="29">
        <f>SUM('ANGKUTAN LAUT LUAR NEGERI'!I36,'ANGKUTAN LAUT DALAM NEGERI'!I36,PELRA!K36,PERINTIS!I36,'ANGKUTAN PENYEBRANGAN'!I36)</f>
        <v>0</v>
      </c>
      <c r="T36" s="31">
        <f>SUM('ANGKUTAN LAUT LUAR NEGERI'!J36,'ANGKUTAN LAUT DALAM NEGERI'!J36,PELRA!L36,PERINTIS!J36,'ANGKUTAN PENYEBRANGAN'!J36)</f>
        <v>0</v>
      </c>
      <c r="U36" s="32">
        <f>SUM('ANGKUTAN LAUT LUAR NEGERI'!K36,'ANGKUTAN LAUT DALAM NEGERI'!K36,PELRA!M36,PERINTIS!K36,'ANGKUTAN PENYEBRANGAN'!K36)</f>
        <v>0</v>
      </c>
    </row>
    <row r="37" spans="1:21">
      <c r="A37" s="33" t="s">
        <v>24</v>
      </c>
      <c r="B37" s="29">
        <f>SUM('ANGKUTAN LAUT LUAR NEGERI'!C37)</f>
        <v>0</v>
      </c>
      <c r="C37" s="29">
        <f>SUM('ANGKUTAN LAUT DALAM NEGERI'!C37)</f>
        <v>0</v>
      </c>
      <c r="D37" s="29">
        <f>SUM(PELRA!C37)</f>
        <v>0</v>
      </c>
      <c r="E37" s="29">
        <f>SUM(PERINTIS!C37)</f>
        <v>0</v>
      </c>
      <c r="F37" s="29">
        <f>SUM('ANGKUTAN PENYEBRANGAN'!C37)</f>
        <v>0</v>
      </c>
      <c r="G37" s="29">
        <f t="shared" si="3"/>
        <v>0</v>
      </c>
      <c r="H37" s="30">
        <f>SUM('ANGKUTAN LAUT LUAR NEGERI'!D37,'ANGKUTAN LAUT DALAM NEGERI'!D37,PELRA!D37,PERINTIS!D37,'ANGKUTAN PENYEBRANGAN'!D37)</f>
        <v>0</v>
      </c>
      <c r="I37" s="30">
        <f>SUM(PERINTIS!E37,PELRA!E37,'ANGKUTAN LAUT DALAM NEGERI'!E37,'ANGKUTAN LAUT LUAR NEGERI'!E37)</f>
        <v>0</v>
      </c>
      <c r="J37" s="30">
        <f>SUM(PERINTIS!F37,PELRA!F37,'ANGKUTAN LAUT DALAM NEGERI'!F37,'ANGKUTAN LAUT LUAR NEGERI'!F37)</f>
        <v>0</v>
      </c>
      <c r="K37" s="29">
        <f>SUM(PELRA!I37)</f>
        <v>0</v>
      </c>
      <c r="L37" s="29">
        <f>SUM(PERINTIS!L37,'ANGKUTAN PENYEBRANGAN'!F37)</f>
        <v>0</v>
      </c>
      <c r="M37" s="29">
        <f>SUM('ANGKUTAN PENYEBRANGAN'!E37)</f>
        <v>0</v>
      </c>
      <c r="N37" s="30">
        <f>SUM(PERINTIS!G37,PELRA!G37,'ANGKUTAN LAUT DALAM NEGERI'!G37,'ANGKUTAN LAUT LUAR NEGERI'!G37)</f>
        <v>0</v>
      </c>
      <c r="O37" s="29">
        <f>SUM(PERINTIS!H37,PELRA!H37,'ANGKUTAN LAUT DALAM NEGERI'!H37,'ANGKUTAN LAUT LUAR NEGERI'!H37)</f>
        <v>0</v>
      </c>
      <c r="P37" s="31">
        <f>SUM(PELRA!J37)</f>
        <v>0</v>
      </c>
      <c r="Q37" s="29">
        <f>SUM(PERINTIS!M37,'ANGKUTAN PENYEBRANGAN'!H37)</f>
        <v>0</v>
      </c>
      <c r="R37" s="29">
        <f>SUM('ANGKUTAN PENYEBRANGAN'!G37)</f>
        <v>0</v>
      </c>
      <c r="S37" s="29">
        <f>SUM('ANGKUTAN LAUT LUAR NEGERI'!I37,'ANGKUTAN LAUT DALAM NEGERI'!I37,PELRA!K37,PERINTIS!I37,'ANGKUTAN PENYEBRANGAN'!I37)</f>
        <v>0</v>
      </c>
      <c r="T37" s="31">
        <f>SUM('ANGKUTAN LAUT LUAR NEGERI'!J37,'ANGKUTAN LAUT DALAM NEGERI'!J37,PELRA!L37,PERINTIS!J37,'ANGKUTAN PENYEBRANGAN'!J37)</f>
        <v>0</v>
      </c>
      <c r="U37" s="32">
        <f>SUM('ANGKUTAN LAUT LUAR NEGERI'!K37,'ANGKUTAN LAUT DALAM NEGERI'!K37,PELRA!M37,PERINTIS!K37,'ANGKUTAN PENYEBRANGAN'!K37)</f>
        <v>0</v>
      </c>
    </row>
    <row r="38" ht="14.25" spans="1:21">
      <c r="A38" s="35" t="s">
        <v>25</v>
      </c>
      <c r="B38" s="36">
        <f>SUM('ANGKUTAN LAUT LUAR NEGERI'!C38)</f>
        <v>0</v>
      </c>
      <c r="C38" s="36">
        <f>SUM('ANGKUTAN LAUT DALAM NEGERI'!C38)</f>
        <v>0</v>
      </c>
      <c r="D38" s="36">
        <f>SUM(PELRA!C38)</f>
        <v>0</v>
      </c>
      <c r="E38" s="36">
        <f>SUM(PERINTIS!C38)</f>
        <v>0</v>
      </c>
      <c r="F38" s="36">
        <f>SUM('ANGKUTAN PENYEBRANGAN'!C38)</f>
        <v>0</v>
      </c>
      <c r="G38" s="36">
        <f t="shared" si="3"/>
        <v>0</v>
      </c>
      <c r="H38" s="37">
        <f>SUM('ANGKUTAN LAUT LUAR NEGERI'!D38,'ANGKUTAN LAUT DALAM NEGERI'!D38,PELRA!D38,PERINTIS!D38,'ANGKUTAN PENYEBRANGAN'!D38)</f>
        <v>0</v>
      </c>
      <c r="I38" s="37">
        <f>SUM(PERINTIS!E38,PELRA!E38,'ANGKUTAN LAUT DALAM NEGERI'!E38,'ANGKUTAN LAUT LUAR NEGERI'!E38)</f>
        <v>0</v>
      </c>
      <c r="J38" s="37">
        <f>SUM(PERINTIS!F38,PELRA!F38,'ANGKUTAN LAUT DALAM NEGERI'!F38,'ANGKUTAN LAUT LUAR NEGERI'!F38)</f>
        <v>0</v>
      </c>
      <c r="K38" s="36">
        <f>SUM(PELRA!I38)</f>
        <v>0</v>
      </c>
      <c r="L38" s="36">
        <f>SUM(PERINTIS!L38,'ANGKUTAN PENYEBRANGAN'!F38)</f>
        <v>0</v>
      </c>
      <c r="M38" s="36">
        <f>SUM('ANGKUTAN PENYEBRANGAN'!E38)</f>
        <v>0</v>
      </c>
      <c r="N38" s="37">
        <f>SUM(PERINTIS!G38,PELRA!G38,'ANGKUTAN LAUT DALAM NEGERI'!G38,'ANGKUTAN LAUT LUAR NEGERI'!G38)</f>
        <v>0</v>
      </c>
      <c r="O38" s="36">
        <f>SUM(PERINTIS!H38,PELRA!H38,'ANGKUTAN LAUT DALAM NEGERI'!H38,'ANGKUTAN LAUT LUAR NEGERI'!H38)</f>
        <v>0</v>
      </c>
      <c r="P38" s="38">
        <f>SUM(PELRA!J38)</f>
        <v>0</v>
      </c>
      <c r="Q38" s="36">
        <f>SUM(PERINTIS!M38,'ANGKUTAN PENYEBRANGAN'!H38)</f>
        <v>0</v>
      </c>
      <c r="R38" s="36">
        <f>SUM('ANGKUTAN PENYEBRANGAN'!G38)</f>
        <v>0</v>
      </c>
      <c r="S38" s="36">
        <f>SUM('ANGKUTAN LAUT LUAR NEGERI'!I38,'ANGKUTAN LAUT DALAM NEGERI'!I38,PELRA!K38,PERINTIS!I38,'ANGKUTAN PENYEBRANGAN'!I38)</f>
        <v>0</v>
      </c>
      <c r="T38" s="38">
        <f>SUM('ANGKUTAN LAUT LUAR NEGERI'!J38,'ANGKUTAN LAUT DALAM NEGERI'!J38,PELRA!L38,PERINTIS!J38,'ANGKUTAN PENYEBRANGAN'!J38)</f>
        <v>0</v>
      </c>
      <c r="U38" s="39">
        <f>SUM('ANGKUTAN LAUT LUAR NEGERI'!K38,'ANGKUTAN LAUT DALAM NEGERI'!K38,PELRA!M38,PERINTIS!K38,'ANGKUTAN PENYEBRANGAN'!K38)</f>
        <v>0</v>
      </c>
    </row>
    <row r="39" ht="15" spans="1:21">
      <c r="A39" s="40" t="s">
        <v>26</v>
      </c>
      <c r="B39" s="41">
        <f t="shared" ref="B39:U39" si="4">SUM(B27:B38)</f>
        <v>0</v>
      </c>
      <c r="C39" s="41">
        <f t="shared" si="4"/>
        <v>0</v>
      </c>
      <c r="D39" s="41">
        <f t="shared" si="4"/>
        <v>4</v>
      </c>
      <c r="E39" s="41">
        <f t="shared" si="4"/>
        <v>0</v>
      </c>
      <c r="F39" s="41">
        <f t="shared" si="4"/>
        <v>0</v>
      </c>
      <c r="G39" s="41">
        <f t="shared" si="4"/>
        <v>4</v>
      </c>
      <c r="H39" s="41">
        <f t="shared" si="4"/>
        <v>81</v>
      </c>
      <c r="I39" s="41">
        <f t="shared" si="4"/>
        <v>0</v>
      </c>
      <c r="J39" s="41">
        <f t="shared" si="4"/>
        <v>0</v>
      </c>
      <c r="K39" s="41">
        <f t="shared" si="4"/>
        <v>0</v>
      </c>
      <c r="L39" s="41">
        <f t="shared" si="4"/>
        <v>0</v>
      </c>
      <c r="M39" s="41">
        <f t="shared" si="4"/>
        <v>0</v>
      </c>
      <c r="N39" s="41">
        <f t="shared" si="4"/>
        <v>94</v>
      </c>
      <c r="O39" s="41">
        <f t="shared" si="4"/>
        <v>0</v>
      </c>
      <c r="P39" s="41">
        <f t="shared" si="4"/>
        <v>0</v>
      </c>
      <c r="Q39" s="41">
        <f t="shared" si="4"/>
        <v>0</v>
      </c>
      <c r="R39" s="41">
        <f t="shared" si="4"/>
        <v>0</v>
      </c>
      <c r="S39" s="41">
        <f t="shared" si="4"/>
        <v>0</v>
      </c>
      <c r="T39" s="42">
        <f t="shared" ref="T39" si="5">SUM(T27:T38)</f>
        <v>0</v>
      </c>
      <c r="U39" s="43">
        <f t="shared" si="4"/>
        <v>0</v>
      </c>
    </row>
    <row r="40" ht="15"/>
    <row r="41" ht="15" spans="1:21">
      <c r="A41" s="3" t="s">
        <v>28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</row>
    <row r="42" ht="14.25" spans="1:21">
      <c r="A42" s="6" t="s">
        <v>5</v>
      </c>
      <c r="B42" s="7" t="s">
        <v>55</v>
      </c>
      <c r="C42" s="8"/>
      <c r="D42" s="8"/>
      <c r="E42" s="8"/>
      <c r="F42" s="9"/>
      <c r="G42" s="7" t="s">
        <v>56</v>
      </c>
      <c r="H42" s="9"/>
      <c r="I42" s="7" t="s">
        <v>39</v>
      </c>
      <c r="J42" s="8"/>
      <c r="K42" s="8"/>
      <c r="L42" s="8"/>
      <c r="M42" s="9"/>
      <c r="N42" s="7" t="s">
        <v>40</v>
      </c>
      <c r="O42" s="8"/>
      <c r="P42" s="8"/>
      <c r="Q42" s="8"/>
      <c r="R42" s="9"/>
      <c r="S42" s="7" t="s">
        <v>38</v>
      </c>
      <c r="T42" s="8"/>
      <c r="U42" s="10"/>
    </row>
    <row r="43" spans="1:21">
      <c r="A43" s="11"/>
      <c r="B43" s="12" t="s">
        <v>57</v>
      </c>
      <c r="C43" s="12" t="s">
        <v>58</v>
      </c>
      <c r="D43" s="13" t="s">
        <v>59</v>
      </c>
      <c r="E43" s="13" t="s">
        <v>47</v>
      </c>
      <c r="F43" s="13" t="s">
        <v>60</v>
      </c>
      <c r="G43" s="12" t="s">
        <v>61</v>
      </c>
      <c r="H43" s="13" t="s">
        <v>62</v>
      </c>
      <c r="I43" s="14" t="s">
        <v>63</v>
      </c>
      <c r="J43" s="15"/>
      <c r="K43" s="12" t="s">
        <v>64</v>
      </c>
      <c r="L43" s="14" t="s">
        <v>65</v>
      </c>
      <c r="M43" s="15"/>
      <c r="N43" s="14" t="s">
        <v>63</v>
      </c>
      <c r="O43" s="15"/>
      <c r="P43" s="12" t="s">
        <v>64</v>
      </c>
      <c r="Q43" s="14" t="s">
        <v>65</v>
      </c>
      <c r="R43" s="15"/>
      <c r="S43" s="16" t="s">
        <v>43</v>
      </c>
      <c r="T43" s="14" t="s">
        <v>44</v>
      </c>
      <c r="U43" s="17" t="s">
        <v>45</v>
      </c>
    </row>
    <row r="44" ht="14.25" spans="1:21">
      <c r="A44" s="18"/>
      <c r="B44" s="19"/>
      <c r="C44" s="19"/>
      <c r="D44" s="20"/>
      <c r="E44" s="20"/>
      <c r="F44" s="20"/>
      <c r="G44" s="19"/>
      <c r="H44" s="20"/>
      <c r="I44" s="20" t="s">
        <v>41</v>
      </c>
      <c r="J44" s="20" t="s">
        <v>42</v>
      </c>
      <c r="K44" s="19"/>
      <c r="L44" s="20" t="s">
        <v>48</v>
      </c>
      <c r="M44" s="20" t="s">
        <v>51</v>
      </c>
      <c r="N44" s="20" t="s">
        <v>41</v>
      </c>
      <c r="O44" s="20" t="s">
        <v>42</v>
      </c>
      <c r="P44" s="19"/>
      <c r="Q44" s="20" t="s">
        <v>48</v>
      </c>
      <c r="R44" s="20" t="s">
        <v>51</v>
      </c>
      <c r="S44" s="20" t="s">
        <v>66</v>
      </c>
      <c r="T44" s="21" t="s">
        <v>67</v>
      </c>
      <c r="U44" s="22" t="s">
        <v>67</v>
      </c>
    </row>
    <row r="45" ht="14.25" spans="1:21">
      <c r="A45" s="23" t="s">
        <v>14</v>
      </c>
      <c r="B45" s="24">
        <f>SUM('ANGKUTAN LAUT LUAR NEGERI'!C45)</f>
        <v>0</v>
      </c>
      <c r="C45" s="24">
        <f>SUM('ANGKUTAN LAUT DALAM NEGERI'!C45)</f>
        <v>0</v>
      </c>
      <c r="D45" s="24">
        <f>SUM(PELRA!C45)</f>
        <v>3</v>
      </c>
      <c r="E45" s="24">
        <f>SUM(PERINTIS!C45)</f>
        <v>5</v>
      </c>
      <c r="F45" s="24">
        <f>SUM('ANGKUTAN PENYEBRANGAN'!C45)</f>
        <v>7</v>
      </c>
      <c r="G45" s="24">
        <f>SUM(B45:F45)</f>
        <v>15</v>
      </c>
      <c r="H45" s="25">
        <f>SUM('ANGKUTAN LAUT LUAR NEGERI'!D45,'ANGKUTAN LAUT DALAM NEGERI'!D45,PELRA!D45,PERINTIS!D45,'ANGKUTAN PENYEBRANGAN'!D45)</f>
        <v>16629</v>
      </c>
      <c r="I45" s="25">
        <f>SUM(PERINTIS!E45,PELRA!E45,'ANGKUTAN LAUT DALAM NEGERI'!E45,'ANGKUTAN LAUT LUAR NEGERI'!E45)</f>
        <v>69</v>
      </c>
      <c r="J45" s="25">
        <f>SUM(PERINTIS!F45,PELRA!F45,'ANGKUTAN LAUT DALAM NEGERI'!F45,'ANGKUTAN LAUT LUAR NEGERI'!F45)</f>
        <v>0</v>
      </c>
      <c r="K45" s="24">
        <f>SUM(PELRA!I45)</f>
        <v>0</v>
      </c>
      <c r="L45" s="24">
        <f>SUM(PERINTIS!L45,'ANGKUTAN PENYEBRANGAN'!F45)</f>
        <v>78</v>
      </c>
      <c r="M45" s="24">
        <f>SUM('ANGKUTAN PENYEBRANGAN'!E45)</f>
        <v>0</v>
      </c>
      <c r="N45" s="25">
        <f>SUM(PERINTIS!G45,PELRA!G45,'ANGKUTAN LAUT DALAM NEGERI'!G45,'ANGKUTAN LAUT LUAR NEGERI'!G45)</f>
        <v>30</v>
      </c>
      <c r="O45" s="24">
        <f>SUM(PERINTIS!H45,PELRA!H45,'ANGKUTAN LAUT DALAM NEGERI'!H45,'ANGKUTAN LAUT LUAR NEGERI'!H45)</f>
        <v>0</v>
      </c>
      <c r="P45" s="26">
        <f>SUM(PELRA!J45)</f>
        <v>0</v>
      </c>
      <c r="Q45" s="24">
        <f>SUM(PERINTIS!M45,'ANGKUTAN PENYEBRANGAN'!H45)</f>
        <v>51</v>
      </c>
      <c r="R45" s="24">
        <f>SUM('ANGKUTAN PENYEBRANGAN'!G45)</f>
        <v>0</v>
      </c>
      <c r="S45" s="24">
        <f>SUM('ANGKUTAN LAUT LUAR NEGERI'!I45,'ANGKUTAN LAUT DALAM NEGERI'!I45,PELRA!K45,PERINTIS!I45,'ANGKUTAN PENYEBRANGAN'!I45)</f>
        <v>594</v>
      </c>
      <c r="T45" s="26">
        <f>SUM('ANGKUTAN LAUT LUAR NEGERI'!J45,'ANGKUTAN LAUT DALAM NEGERI'!J45,PELRA!L45,PERINTIS!J45,'ANGKUTAN PENYEBRANGAN'!J45)</f>
        <v>296</v>
      </c>
      <c r="U45" s="27">
        <f>SUM('ANGKUTAN LAUT LUAR NEGERI'!K45,'ANGKUTAN LAUT DALAM NEGERI'!K45,PELRA!M45,PERINTIS!K45,'ANGKUTAN PENYEBRANGAN'!K45)</f>
        <v>1355</v>
      </c>
    </row>
    <row r="46" spans="1:21">
      <c r="A46" s="28" t="s">
        <v>15</v>
      </c>
      <c r="B46" s="47">
        <f>SUM('ANGKUTAN LAUT LUAR NEGERI'!C46)</f>
        <v>0</v>
      </c>
      <c r="C46" s="47">
        <f>SUM('ANGKUTAN LAUT DALAM NEGERI'!C46)</f>
        <v>0</v>
      </c>
      <c r="D46" s="47">
        <f>SUM(PELRA!C46)</f>
        <v>3</v>
      </c>
      <c r="E46" s="47">
        <f>SUM(PERINTIS!C46)</f>
        <v>5</v>
      </c>
      <c r="F46" s="47">
        <f>SUM('ANGKUTAN PENYEBRANGAN'!C46)</f>
        <v>13</v>
      </c>
      <c r="G46" s="47">
        <f t="shared" ref="G46:G56" si="6">SUM(B46:F46)</f>
        <v>21</v>
      </c>
      <c r="H46" s="48">
        <f>SUM('ANGKUTAN LAUT LUAR NEGERI'!D46,'ANGKUTAN LAUT DALAM NEGERI'!D46,PELRA!D46,PERINTIS!D46,'ANGKUTAN PENYEBRANGAN'!D46)</f>
        <v>21508</v>
      </c>
      <c r="I46" s="30">
        <f>SUM(PERINTIS!E46,PELRA!E46,'ANGKUTAN LAUT DALAM NEGERI'!E46,'ANGKUTAN LAUT LUAR NEGERI'!E46)</f>
        <v>28</v>
      </c>
      <c r="J46" s="30">
        <f>SUM(PERINTIS!F46,PELRA!F46,'ANGKUTAN LAUT DALAM NEGERI'!F46,'ANGKUTAN LAUT LUAR NEGERI'!F46)</f>
        <v>0</v>
      </c>
      <c r="K46" s="47">
        <f>SUM(PELRA!I46)</f>
        <v>0</v>
      </c>
      <c r="L46" s="47">
        <f>SUM(PERINTIS!L46,'ANGKUTAN PENYEBRANGAN'!F46)</f>
        <v>74</v>
      </c>
      <c r="M46" s="47">
        <f>SUM('ANGKUTAN PENYEBRANGAN'!E46)</f>
        <v>0</v>
      </c>
      <c r="N46" s="30">
        <f>SUM(PERINTIS!G46,PELRA!G46,'ANGKUTAN LAUT DALAM NEGERI'!G46,'ANGKUTAN LAUT LUAR NEGERI'!G46)</f>
        <v>50</v>
      </c>
      <c r="O46" s="29">
        <f>SUM(PERINTIS!H46,PELRA!H46,'ANGKUTAN LAUT DALAM NEGERI'!H46,'ANGKUTAN LAUT LUAR NEGERI'!H46)</f>
        <v>0</v>
      </c>
      <c r="P46" s="49">
        <f>SUM(PELRA!J46)</f>
        <v>0</v>
      </c>
      <c r="Q46" s="47">
        <f>SUM(PERINTIS!M46,'ANGKUTAN PENYEBRANGAN'!H46)</f>
        <v>99</v>
      </c>
      <c r="R46" s="47">
        <f>SUM('ANGKUTAN PENYEBRANGAN'!G46)</f>
        <v>0</v>
      </c>
      <c r="S46" s="47">
        <f>SUM('ANGKUTAN LAUT LUAR NEGERI'!I46,'ANGKUTAN LAUT DALAM NEGERI'!I46,PELRA!K46,PERINTIS!I46,'ANGKUTAN PENYEBRANGAN'!I46)</f>
        <v>381</v>
      </c>
      <c r="T46" s="49">
        <f>SUM('ANGKUTAN LAUT LUAR NEGERI'!J46,'ANGKUTAN LAUT DALAM NEGERI'!J46,PELRA!L46,PERINTIS!J46,'ANGKUTAN PENYEBRANGAN'!J46)</f>
        <v>431</v>
      </c>
      <c r="U46" s="50">
        <f>SUM('ANGKUTAN LAUT LUAR NEGERI'!K46,'ANGKUTAN LAUT DALAM NEGERI'!K46,PELRA!M46,PERINTIS!K46,'ANGKUTAN PENYEBRANGAN'!K46)</f>
        <v>1328</v>
      </c>
    </row>
    <row r="47" spans="1:21">
      <c r="A47" s="33" t="s">
        <v>16</v>
      </c>
      <c r="B47" s="29">
        <f>SUM('ANGKUTAN LAUT LUAR NEGERI'!C47)</f>
        <v>0</v>
      </c>
      <c r="C47" s="29">
        <f>SUM('ANGKUTAN LAUT DALAM NEGERI'!C47)</f>
        <v>0</v>
      </c>
      <c r="D47" s="29">
        <f>SUM(PELRA!C47)</f>
        <v>0</v>
      </c>
      <c r="E47" s="29">
        <f>SUM(PERINTIS!C47)</f>
        <v>0</v>
      </c>
      <c r="F47" s="29">
        <f>SUM('ANGKUTAN PENYEBRANGAN'!C47)</f>
        <v>0</v>
      </c>
      <c r="G47" s="29">
        <f t="shared" si="6"/>
        <v>0</v>
      </c>
      <c r="H47" s="30">
        <f>SUM('ANGKUTAN LAUT LUAR NEGERI'!D47,'ANGKUTAN LAUT DALAM NEGERI'!D47,PELRA!D47,PERINTIS!D47,'ANGKUTAN PENYEBRANGAN'!D47)</f>
        <v>0</v>
      </c>
      <c r="I47" s="30">
        <f>SUM(PERINTIS!E47,PELRA!E47,'ANGKUTAN LAUT DALAM NEGERI'!E47,'ANGKUTAN LAUT LUAR NEGERI'!E47)</f>
        <v>0</v>
      </c>
      <c r="J47" s="30">
        <f>SUM(PERINTIS!F47,PELRA!F47,'ANGKUTAN LAUT DALAM NEGERI'!F47,'ANGKUTAN LAUT LUAR NEGERI'!F47)</f>
        <v>0</v>
      </c>
      <c r="K47" s="29">
        <f>SUM(PELRA!I47)</f>
        <v>0</v>
      </c>
      <c r="L47" s="29">
        <f>SUM(PERINTIS!L47,'ANGKUTAN PENYEBRANGAN'!F47)</f>
        <v>0</v>
      </c>
      <c r="M47" s="29">
        <f>SUM('ANGKUTAN PENYEBRANGAN'!E47)</f>
        <v>0</v>
      </c>
      <c r="N47" s="30">
        <f>SUM(PERINTIS!G47,PELRA!G47,'ANGKUTAN LAUT DALAM NEGERI'!G47,'ANGKUTAN LAUT LUAR NEGERI'!G47)</f>
        <v>0</v>
      </c>
      <c r="O47" s="29">
        <f>SUM(PERINTIS!H47,PELRA!H47,'ANGKUTAN LAUT DALAM NEGERI'!H47,'ANGKUTAN LAUT LUAR NEGERI'!H47)</f>
        <v>0</v>
      </c>
      <c r="P47" s="31">
        <f>SUM(PELRA!J47)</f>
        <v>0</v>
      </c>
      <c r="Q47" s="29">
        <f>SUM(PERINTIS!M47,'ANGKUTAN PENYEBRANGAN'!H47)</f>
        <v>0</v>
      </c>
      <c r="R47" s="29">
        <f>SUM('ANGKUTAN PENYEBRANGAN'!G47)</f>
        <v>0</v>
      </c>
      <c r="S47" s="29">
        <f>SUM('ANGKUTAN LAUT LUAR NEGERI'!I47,'ANGKUTAN LAUT DALAM NEGERI'!I47,PELRA!K47,PERINTIS!I47,'ANGKUTAN PENYEBRANGAN'!I47)</f>
        <v>0</v>
      </c>
      <c r="T47" s="31">
        <f>SUM('ANGKUTAN LAUT LUAR NEGERI'!J47,'ANGKUTAN LAUT DALAM NEGERI'!J47,PELRA!L47,PERINTIS!J47,'ANGKUTAN PENYEBRANGAN'!J47)</f>
        <v>0</v>
      </c>
      <c r="U47" s="32">
        <f>SUM('ANGKUTAN LAUT LUAR NEGERI'!K47,'ANGKUTAN LAUT DALAM NEGERI'!K47,PELRA!M47,PERINTIS!K47,'ANGKUTAN PENYEBRANGAN'!K47)</f>
        <v>0</v>
      </c>
    </row>
    <row r="48" spans="1:21">
      <c r="A48" s="28" t="s">
        <v>17</v>
      </c>
      <c r="B48" s="29">
        <f>SUM('ANGKUTAN LAUT LUAR NEGERI'!C48)</f>
        <v>0</v>
      </c>
      <c r="C48" s="29">
        <f>SUM('ANGKUTAN LAUT DALAM NEGERI'!C48)</f>
        <v>0</v>
      </c>
      <c r="D48" s="29">
        <f>SUM(PELRA!C48)</f>
        <v>0</v>
      </c>
      <c r="E48" s="29">
        <f>SUM(PERINTIS!C48)</f>
        <v>0</v>
      </c>
      <c r="F48" s="29">
        <f>SUM('ANGKUTAN PENYEBRANGAN'!C48)</f>
        <v>0</v>
      </c>
      <c r="G48" s="29">
        <f t="shared" si="6"/>
        <v>0</v>
      </c>
      <c r="H48" s="30">
        <f>SUM('ANGKUTAN LAUT LUAR NEGERI'!D48,'ANGKUTAN LAUT DALAM NEGERI'!D48,PELRA!D48,PERINTIS!D48,'ANGKUTAN PENYEBRANGAN'!D48)</f>
        <v>0</v>
      </c>
      <c r="I48" s="30">
        <f>SUM(PERINTIS!E48,PELRA!E48,'ANGKUTAN LAUT DALAM NEGERI'!E48,'ANGKUTAN LAUT LUAR NEGERI'!E48)</f>
        <v>0</v>
      </c>
      <c r="J48" s="30">
        <f>SUM(PERINTIS!F48,PELRA!F48,'ANGKUTAN LAUT DALAM NEGERI'!F48,'ANGKUTAN LAUT LUAR NEGERI'!F48)</f>
        <v>0</v>
      </c>
      <c r="K48" s="29">
        <f>SUM(PELRA!I48)</f>
        <v>0</v>
      </c>
      <c r="L48" s="29">
        <f>SUM(PERINTIS!L48,'ANGKUTAN PENYEBRANGAN'!F48)</f>
        <v>0</v>
      </c>
      <c r="M48" s="29">
        <f>SUM('ANGKUTAN PENYEBRANGAN'!E48)</f>
        <v>0</v>
      </c>
      <c r="N48" s="30">
        <f>SUM(PERINTIS!G48,PELRA!G48,'ANGKUTAN LAUT DALAM NEGERI'!G48,'ANGKUTAN LAUT LUAR NEGERI'!G48)</f>
        <v>0</v>
      </c>
      <c r="O48" s="29">
        <f>SUM(PERINTIS!H48,PELRA!H48,'ANGKUTAN LAUT DALAM NEGERI'!H48,'ANGKUTAN LAUT LUAR NEGERI'!H48)</f>
        <v>0</v>
      </c>
      <c r="P48" s="31">
        <f>SUM(PELRA!J48)</f>
        <v>0</v>
      </c>
      <c r="Q48" s="29">
        <f>SUM(PERINTIS!M48,'ANGKUTAN PENYEBRANGAN'!H48)</f>
        <v>0</v>
      </c>
      <c r="R48" s="29">
        <f>SUM('ANGKUTAN PENYEBRANGAN'!G48)</f>
        <v>0</v>
      </c>
      <c r="S48" s="29">
        <f>SUM('ANGKUTAN LAUT LUAR NEGERI'!I48,'ANGKUTAN LAUT DALAM NEGERI'!I48,PELRA!K48,PERINTIS!I48,'ANGKUTAN PENYEBRANGAN'!I48)</f>
        <v>0</v>
      </c>
      <c r="T48" s="31">
        <f>SUM('ANGKUTAN LAUT LUAR NEGERI'!J48,'ANGKUTAN LAUT DALAM NEGERI'!J48,PELRA!L48,PERINTIS!J48,'ANGKUTAN PENYEBRANGAN'!J48)</f>
        <v>0</v>
      </c>
      <c r="U48" s="32">
        <f>SUM('ANGKUTAN LAUT LUAR NEGERI'!K48,'ANGKUTAN LAUT DALAM NEGERI'!K48,PELRA!M48,PERINTIS!K48,'ANGKUTAN PENYEBRANGAN'!K48)</f>
        <v>0</v>
      </c>
    </row>
    <row r="49" spans="1:21">
      <c r="A49" s="28" t="s">
        <v>18</v>
      </c>
      <c r="B49" s="29">
        <f>SUM('ANGKUTAN LAUT LUAR NEGERI'!C49)</f>
        <v>0</v>
      </c>
      <c r="C49" s="29">
        <f>SUM('ANGKUTAN LAUT DALAM NEGERI'!C49)</f>
        <v>0</v>
      </c>
      <c r="D49" s="29">
        <f>SUM(PELRA!C49)</f>
        <v>0</v>
      </c>
      <c r="E49" s="29">
        <f>SUM(PERINTIS!C49)</f>
        <v>0</v>
      </c>
      <c r="F49" s="29">
        <f>SUM('ANGKUTAN PENYEBRANGAN'!C49)</f>
        <v>0</v>
      </c>
      <c r="G49" s="29">
        <f t="shared" si="6"/>
        <v>0</v>
      </c>
      <c r="H49" s="30">
        <f>SUM('ANGKUTAN LAUT LUAR NEGERI'!D49,'ANGKUTAN LAUT DALAM NEGERI'!D49,PELRA!D49,PERINTIS!D49,'ANGKUTAN PENYEBRANGAN'!D49)</f>
        <v>0</v>
      </c>
      <c r="I49" s="30">
        <f>SUM(PERINTIS!E49,PELRA!E49,'ANGKUTAN LAUT DALAM NEGERI'!E49,'ANGKUTAN LAUT LUAR NEGERI'!E49)</f>
        <v>0</v>
      </c>
      <c r="J49" s="30">
        <f>SUM(PERINTIS!F49,PELRA!F49,'ANGKUTAN LAUT DALAM NEGERI'!F49,'ANGKUTAN LAUT LUAR NEGERI'!F49)</f>
        <v>0</v>
      </c>
      <c r="K49" s="29">
        <f>SUM(PELRA!I49)</f>
        <v>0</v>
      </c>
      <c r="L49" s="29">
        <f>SUM(PERINTIS!L49,'ANGKUTAN PENYEBRANGAN'!F49)</f>
        <v>0</v>
      </c>
      <c r="M49" s="29">
        <f>SUM('ANGKUTAN PENYEBRANGAN'!E49)</f>
        <v>0</v>
      </c>
      <c r="N49" s="30">
        <f>SUM(PERINTIS!G49,PELRA!G49,'ANGKUTAN LAUT DALAM NEGERI'!G49,'ANGKUTAN LAUT LUAR NEGERI'!G49)</f>
        <v>0</v>
      </c>
      <c r="O49" s="29">
        <f>SUM(PERINTIS!H49,PELRA!H49,'ANGKUTAN LAUT DALAM NEGERI'!H49,'ANGKUTAN LAUT LUAR NEGERI'!H49)</f>
        <v>0</v>
      </c>
      <c r="P49" s="31">
        <f>SUM(PELRA!J49)</f>
        <v>0</v>
      </c>
      <c r="Q49" s="29">
        <f>SUM(PERINTIS!M49,'ANGKUTAN PENYEBRANGAN'!H49)</f>
        <v>0</v>
      </c>
      <c r="R49" s="29">
        <f>SUM('ANGKUTAN PENYEBRANGAN'!G49)</f>
        <v>0</v>
      </c>
      <c r="S49" s="29">
        <f>SUM('ANGKUTAN LAUT LUAR NEGERI'!I49,'ANGKUTAN LAUT DALAM NEGERI'!I49,PELRA!K49,PERINTIS!I49,'ANGKUTAN PENYEBRANGAN'!I49)</f>
        <v>0</v>
      </c>
      <c r="T49" s="31">
        <f>SUM('ANGKUTAN LAUT LUAR NEGERI'!J49,'ANGKUTAN LAUT DALAM NEGERI'!J49,PELRA!L49,PERINTIS!J49,'ANGKUTAN PENYEBRANGAN'!J49)</f>
        <v>0</v>
      </c>
      <c r="U49" s="32">
        <f>SUM('ANGKUTAN LAUT LUAR NEGERI'!K49,'ANGKUTAN LAUT DALAM NEGERI'!K49,PELRA!M49,PERINTIS!K49,'ANGKUTAN PENYEBRANGAN'!K49)</f>
        <v>0</v>
      </c>
    </row>
    <row r="50" spans="1:21">
      <c r="A50" s="34" t="s">
        <v>19</v>
      </c>
      <c r="B50" s="29">
        <f>SUM('ANGKUTAN LAUT LUAR NEGERI'!C50)</f>
        <v>0</v>
      </c>
      <c r="C50" s="29">
        <f>SUM('ANGKUTAN LAUT DALAM NEGERI'!C50)</f>
        <v>0</v>
      </c>
      <c r="D50" s="29">
        <f>SUM(PELRA!C50)</f>
        <v>0</v>
      </c>
      <c r="E50" s="29">
        <f>SUM(PERINTIS!C50)</f>
        <v>0</v>
      </c>
      <c r="F50" s="29">
        <f>SUM('ANGKUTAN PENYEBRANGAN'!C50)</f>
        <v>0</v>
      </c>
      <c r="G50" s="29">
        <f t="shared" si="6"/>
        <v>0</v>
      </c>
      <c r="H50" s="30">
        <f>SUM('ANGKUTAN LAUT LUAR NEGERI'!D50,'ANGKUTAN LAUT DALAM NEGERI'!D50,PELRA!D50,PERINTIS!D50,'ANGKUTAN PENYEBRANGAN'!D50)</f>
        <v>0</v>
      </c>
      <c r="I50" s="30">
        <f>SUM(PERINTIS!E50,PELRA!E50,'ANGKUTAN LAUT DALAM NEGERI'!E50,'ANGKUTAN LAUT LUAR NEGERI'!E50)</f>
        <v>0</v>
      </c>
      <c r="J50" s="30">
        <f>SUM(PERINTIS!F50,PELRA!F50,'ANGKUTAN LAUT DALAM NEGERI'!F50,'ANGKUTAN LAUT LUAR NEGERI'!F50)</f>
        <v>0</v>
      </c>
      <c r="K50" s="29">
        <f>SUM(PELRA!I50)</f>
        <v>0</v>
      </c>
      <c r="L50" s="29">
        <f>SUM(PERINTIS!L50,'ANGKUTAN PENYEBRANGAN'!F50)</f>
        <v>0</v>
      </c>
      <c r="M50" s="29">
        <f>SUM('ANGKUTAN PENYEBRANGAN'!E50)</f>
        <v>0</v>
      </c>
      <c r="N50" s="30">
        <f>SUM(PERINTIS!G50,PELRA!G50,'ANGKUTAN LAUT DALAM NEGERI'!G50,'ANGKUTAN LAUT LUAR NEGERI'!G50)</f>
        <v>0</v>
      </c>
      <c r="O50" s="29">
        <f>SUM(PERINTIS!H50,PELRA!H50,'ANGKUTAN LAUT DALAM NEGERI'!H50,'ANGKUTAN LAUT LUAR NEGERI'!H50)</f>
        <v>0</v>
      </c>
      <c r="P50" s="31">
        <f>SUM(PELRA!J50)</f>
        <v>0</v>
      </c>
      <c r="Q50" s="29">
        <f>SUM(PERINTIS!M50,'ANGKUTAN PENYEBRANGAN'!H50)</f>
        <v>0</v>
      </c>
      <c r="R50" s="29">
        <f>SUM('ANGKUTAN PENYEBRANGAN'!G50)</f>
        <v>0</v>
      </c>
      <c r="S50" s="29">
        <f>SUM('ANGKUTAN LAUT LUAR NEGERI'!I50,'ANGKUTAN LAUT DALAM NEGERI'!I50,PELRA!K50,PERINTIS!I50,'ANGKUTAN PENYEBRANGAN'!I50)</f>
        <v>0</v>
      </c>
      <c r="T50" s="31">
        <f>SUM('ANGKUTAN LAUT LUAR NEGERI'!J50,'ANGKUTAN LAUT DALAM NEGERI'!J50,PELRA!L50,PERINTIS!J50,'ANGKUTAN PENYEBRANGAN'!J50)</f>
        <v>0</v>
      </c>
      <c r="U50" s="32">
        <f>SUM('ANGKUTAN LAUT LUAR NEGERI'!K50,'ANGKUTAN LAUT DALAM NEGERI'!K50,PELRA!M50,PERINTIS!K50,'ANGKUTAN PENYEBRANGAN'!K50)</f>
        <v>0</v>
      </c>
    </row>
    <row r="51" spans="1:21">
      <c r="A51" s="28" t="s">
        <v>20</v>
      </c>
      <c r="B51" s="29">
        <f>SUM('ANGKUTAN LAUT LUAR NEGERI'!C51)</f>
        <v>0</v>
      </c>
      <c r="C51" s="29">
        <f>SUM('ANGKUTAN LAUT DALAM NEGERI'!C51)</f>
        <v>0</v>
      </c>
      <c r="D51" s="29">
        <f>SUM(PELRA!C51)</f>
        <v>0</v>
      </c>
      <c r="E51" s="29">
        <f>SUM(PERINTIS!C51)</f>
        <v>0</v>
      </c>
      <c r="F51" s="29">
        <f>SUM('ANGKUTAN PENYEBRANGAN'!C51)</f>
        <v>0</v>
      </c>
      <c r="G51" s="29">
        <f t="shared" si="6"/>
        <v>0</v>
      </c>
      <c r="H51" s="30">
        <f>SUM('ANGKUTAN LAUT LUAR NEGERI'!D51,'ANGKUTAN LAUT DALAM NEGERI'!D51,PELRA!D51,PERINTIS!D51,'ANGKUTAN PENYEBRANGAN'!D51)</f>
        <v>0</v>
      </c>
      <c r="I51" s="30">
        <f>SUM(PERINTIS!E51,PELRA!E51,'ANGKUTAN LAUT DALAM NEGERI'!E51,'ANGKUTAN LAUT LUAR NEGERI'!E51)</f>
        <v>0</v>
      </c>
      <c r="J51" s="30">
        <f>SUM(PERINTIS!F51,PELRA!F51,'ANGKUTAN LAUT DALAM NEGERI'!F51,'ANGKUTAN LAUT LUAR NEGERI'!F51)</f>
        <v>0</v>
      </c>
      <c r="K51" s="29">
        <f>SUM(PELRA!I51)</f>
        <v>0</v>
      </c>
      <c r="L51" s="29">
        <f>SUM(PERINTIS!L51,'ANGKUTAN PENYEBRANGAN'!F51)</f>
        <v>0</v>
      </c>
      <c r="M51" s="29">
        <f>SUM('ANGKUTAN PENYEBRANGAN'!E51)</f>
        <v>0</v>
      </c>
      <c r="N51" s="30">
        <f>SUM(PERINTIS!G51,PELRA!G51,'ANGKUTAN LAUT DALAM NEGERI'!G51,'ANGKUTAN LAUT LUAR NEGERI'!G51)</f>
        <v>0</v>
      </c>
      <c r="O51" s="29">
        <f>SUM(PERINTIS!H51,PELRA!H51,'ANGKUTAN LAUT DALAM NEGERI'!H51,'ANGKUTAN LAUT LUAR NEGERI'!H51)</f>
        <v>0</v>
      </c>
      <c r="P51" s="31">
        <f>SUM(PELRA!J51)</f>
        <v>0</v>
      </c>
      <c r="Q51" s="29">
        <f>SUM(PERINTIS!M51,'ANGKUTAN PENYEBRANGAN'!H51)</f>
        <v>0</v>
      </c>
      <c r="R51" s="29">
        <f>SUM('ANGKUTAN PENYEBRANGAN'!G51)</f>
        <v>0</v>
      </c>
      <c r="S51" s="29">
        <f>SUM('ANGKUTAN LAUT LUAR NEGERI'!I51,'ANGKUTAN LAUT DALAM NEGERI'!I51,PELRA!K51,PERINTIS!I51,'ANGKUTAN PENYEBRANGAN'!I51)</f>
        <v>0</v>
      </c>
      <c r="T51" s="31">
        <f>SUM('ANGKUTAN LAUT LUAR NEGERI'!J51,'ANGKUTAN LAUT DALAM NEGERI'!J51,PELRA!L51,PERINTIS!J51,'ANGKUTAN PENYEBRANGAN'!J51)</f>
        <v>0</v>
      </c>
      <c r="U51" s="32">
        <f>SUM('ANGKUTAN LAUT LUAR NEGERI'!K51,'ANGKUTAN LAUT DALAM NEGERI'!K51,PELRA!M51,PERINTIS!K51,'ANGKUTAN PENYEBRANGAN'!K51)</f>
        <v>0</v>
      </c>
    </row>
    <row r="52" spans="1:21">
      <c r="A52" s="33" t="s">
        <v>21</v>
      </c>
      <c r="B52" s="29">
        <f>SUM('ANGKUTAN LAUT LUAR NEGERI'!C52)</f>
        <v>0</v>
      </c>
      <c r="C52" s="29">
        <f>SUM('ANGKUTAN LAUT DALAM NEGERI'!C52)</f>
        <v>0</v>
      </c>
      <c r="D52" s="29">
        <f>SUM(PELRA!C52)</f>
        <v>0</v>
      </c>
      <c r="E52" s="29">
        <f>SUM(PERINTIS!C52)</f>
        <v>0</v>
      </c>
      <c r="F52" s="29">
        <f>SUM('ANGKUTAN PENYEBRANGAN'!C52)</f>
        <v>0</v>
      </c>
      <c r="G52" s="29">
        <f t="shared" si="6"/>
        <v>0</v>
      </c>
      <c r="H52" s="30">
        <f>SUM('ANGKUTAN LAUT LUAR NEGERI'!D52,'ANGKUTAN LAUT DALAM NEGERI'!D52,PELRA!D52,PERINTIS!D52,'ANGKUTAN PENYEBRANGAN'!D52)</f>
        <v>0</v>
      </c>
      <c r="I52" s="30">
        <f>SUM(PERINTIS!E52,PELRA!E52,'ANGKUTAN LAUT DALAM NEGERI'!E52,'ANGKUTAN LAUT LUAR NEGERI'!E52)</f>
        <v>0</v>
      </c>
      <c r="J52" s="30">
        <f>SUM(PERINTIS!F52,PELRA!F52,'ANGKUTAN LAUT DALAM NEGERI'!F52,'ANGKUTAN LAUT LUAR NEGERI'!F52)</f>
        <v>0</v>
      </c>
      <c r="K52" s="29">
        <f>SUM(PELRA!I52)</f>
        <v>0</v>
      </c>
      <c r="L52" s="29">
        <f>SUM(PERINTIS!L52,'ANGKUTAN PENYEBRANGAN'!F52)</f>
        <v>0</v>
      </c>
      <c r="M52" s="29">
        <f>SUM('ANGKUTAN PENYEBRANGAN'!E52)</f>
        <v>0</v>
      </c>
      <c r="N52" s="30">
        <f>SUM(PERINTIS!G52,PELRA!G52,'ANGKUTAN LAUT DALAM NEGERI'!G52,'ANGKUTAN LAUT LUAR NEGERI'!G52)</f>
        <v>0</v>
      </c>
      <c r="O52" s="29">
        <f>SUM(PERINTIS!H52,PELRA!H52,'ANGKUTAN LAUT DALAM NEGERI'!H52,'ANGKUTAN LAUT LUAR NEGERI'!H52)</f>
        <v>0</v>
      </c>
      <c r="P52" s="31">
        <f>SUM(PELRA!J52)</f>
        <v>0</v>
      </c>
      <c r="Q52" s="29">
        <f>SUM(PERINTIS!M52,'ANGKUTAN PENYEBRANGAN'!H52)</f>
        <v>0</v>
      </c>
      <c r="R52" s="29">
        <f>SUM('ANGKUTAN PENYEBRANGAN'!G52)</f>
        <v>0</v>
      </c>
      <c r="S52" s="29">
        <f>SUM('ANGKUTAN LAUT LUAR NEGERI'!I52,'ANGKUTAN LAUT DALAM NEGERI'!I52,PELRA!K52,PERINTIS!I52,'ANGKUTAN PENYEBRANGAN'!I52)</f>
        <v>0</v>
      </c>
      <c r="T52" s="31">
        <f>SUM('ANGKUTAN LAUT LUAR NEGERI'!J52,'ANGKUTAN LAUT DALAM NEGERI'!J52,PELRA!L52,PERINTIS!J52,'ANGKUTAN PENYEBRANGAN'!J52)</f>
        <v>0</v>
      </c>
      <c r="U52" s="32">
        <f>SUM('ANGKUTAN LAUT LUAR NEGERI'!K52,'ANGKUTAN LAUT DALAM NEGERI'!K52,PELRA!M52,PERINTIS!K52,'ANGKUTAN PENYEBRANGAN'!K52)</f>
        <v>0</v>
      </c>
    </row>
    <row r="53" spans="1:21">
      <c r="A53" s="33" t="s">
        <v>22</v>
      </c>
      <c r="B53" s="29">
        <f>SUM('ANGKUTAN LAUT LUAR NEGERI'!C53)</f>
        <v>0</v>
      </c>
      <c r="C53" s="29">
        <f>SUM('ANGKUTAN LAUT DALAM NEGERI'!C53)</f>
        <v>0</v>
      </c>
      <c r="D53" s="29">
        <f>SUM(PELRA!C53)</f>
        <v>0</v>
      </c>
      <c r="E53" s="29">
        <f>SUM(PERINTIS!C53)</f>
        <v>0</v>
      </c>
      <c r="F53" s="29">
        <f>SUM('ANGKUTAN PENYEBRANGAN'!C53)</f>
        <v>0</v>
      </c>
      <c r="G53" s="29">
        <f t="shared" si="6"/>
        <v>0</v>
      </c>
      <c r="H53" s="30">
        <f>SUM('ANGKUTAN LAUT LUAR NEGERI'!D53,'ANGKUTAN LAUT DALAM NEGERI'!D53,PELRA!D53,PERINTIS!D53,'ANGKUTAN PENYEBRANGAN'!D53)</f>
        <v>0</v>
      </c>
      <c r="I53" s="30">
        <f>SUM(PERINTIS!E53,PELRA!E53,'ANGKUTAN LAUT DALAM NEGERI'!E53,'ANGKUTAN LAUT LUAR NEGERI'!E53)</f>
        <v>0</v>
      </c>
      <c r="J53" s="30">
        <f>SUM(PERINTIS!F53,PELRA!F53,'ANGKUTAN LAUT DALAM NEGERI'!F53,'ANGKUTAN LAUT LUAR NEGERI'!F53)</f>
        <v>0</v>
      </c>
      <c r="K53" s="29">
        <f>SUM(PELRA!I53)</f>
        <v>0</v>
      </c>
      <c r="L53" s="29">
        <f>SUM(PERINTIS!L53,'ANGKUTAN PENYEBRANGAN'!F53)</f>
        <v>0</v>
      </c>
      <c r="M53" s="29">
        <f>SUM('ANGKUTAN PENYEBRANGAN'!E53)</f>
        <v>0</v>
      </c>
      <c r="N53" s="30">
        <f>SUM(PERINTIS!G53,PELRA!G53,'ANGKUTAN LAUT DALAM NEGERI'!G53,'ANGKUTAN LAUT LUAR NEGERI'!G53)</f>
        <v>0</v>
      </c>
      <c r="O53" s="29">
        <f>SUM(PERINTIS!H53,PELRA!H53,'ANGKUTAN LAUT DALAM NEGERI'!H53,'ANGKUTAN LAUT LUAR NEGERI'!H53)</f>
        <v>0</v>
      </c>
      <c r="P53" s="31">
        <f>SUM(PELRA!J53)</f>
        <v>0</v>
      </c>
      <c r="Q53" s="29">
        <f>SUM(PERINTIS!M53,'ANGKUTAN PENYEBRANGAN'!H53)</f>
        <v>0</v>
      </c>
      <c r="R53" s="29">
        <f>SUM('ANGKUTAN PENYEBRANGAN'!G53)</f>
        <v>0</v>
      </c>
      <c r="S53" s="29">
        <f>SUM('ANGKUTAN LAUT LUAR NEGERI'!I53,'ANGKUTAN LAUT DALAM NEGERI'!I53,PELRA!K53,PERINTIS!I53,'ANGKUTAN PENYEBRANGAN'!I53)</f>
        <v>0</v>
      </c>
      <c r="T53" s="31">
        <f>SUM('ANGKUTAN LAUT LUAR NEGERI'!J53,'ANGKUTAN LAUT DALAM NEGERI'!J53,PELRA!L53,PERINTIS!J53,'ANGKUTAN PENYEBRANGAN'!J53)</f>
        <v>0</v>
      </c>
      <c r="U53" s="32">
        <f>SUM('ANGKUTAN LAUT LUAR NEGERI'!K53,'ANGKUTAN LAUT DALAM NEGERI'!K53,PELRA!M53,PERINTIS!K53,'ANGKUTAN PENYEBRANGAN'!K53)</f>
        <v>0</v>
      </c>
    </row>
    <row r="54" spans="1:21">
      <c r="A54" s="33" t="s">
        <v>23</v>
      </c>
      <c r="B54" s="29">
        <f>SUM('ANGKUTAN LAUT LUAR NEGERI'!C54)</f>
        <v>0</v>
      </c>
      <c r="C54" s="29">
        <f>SUM('ANGKUTAN LAUT DALAM NEGERI'!C54)</f>
        <v>0</v>
      </c>
      <c r="D54" s="29">
        <f>SUM(PELRA!C54)</f>
        <v>0</v>
      </c>
      <c r="E54" s="29">
        <f>SUM(PERINTIS!C54)</f>
        <v>0</v>
      </c>
      <c r="F54" s="29">
        <f>SUM('ANGKUTAN PENYEBRANGAN'!C54)</f>
        <v>0</v>
      </c>
      <c r="G54" s="29">
        <f t="shared" si="6"/>
        <v>0</v>
      </c>
      <c r="H54" s="30">
        <f>SUM('ANGKUTAN LAUT LUAR NEGERI'!D54,'ANGKUTAN LAUT DALAM NEGERI'!D54,PELRA!D54,PERINTIS!D54,'ANGKUTAN PENYEBRANGAN'!D54)</f>
        <v>0</v>
      </c>
      <c r="I54" s="30">
        <f>SUM(PERINTIS!E54,PELRA!E54,'ANGKUTAN LAUT DALAM NEGERI'!E54,'ANGKUTAN LAUT LUAR NEGERI'!E54)</f>
        <v>0</v>
      </c>
      <c r="J54" s="30">
        <f>SUM(PERINTIS!F54,PELRA!F54,'ANGKUTAN LAUT DALAM NEGERI'!F54,'ANGKUTAN LAUT LUAR NEGERI'!F54)</f>
        <v>0</v>
      </c>
      <c r="K54" s="29">
        <f>SUM(PELRA!I54)</f>
        <v>0</v>
      </c>
      <c r="L54" s="29">
        <f>SUM(PERINTIS!L54,'ANGKUTAN PENYEBRANGAN'!F54)</f>
        <v>0</v>
      </c>
      <c r="M54" s="29">
        <f>SUM('ANGKUTAN PENYEBRANGAN'!E54)</f>
        <v>0</v>
      </c>
      <c r="N54" s="30">
        <f>SUM(PERINTIS!G54,PELRA!G54,'ANGKUTAN LAUT DALAM NEGERI'!G54,'ANGKUTAN LAUT LUAR NEGERI'!G54)</f>
        <v>0</v>
      </c>
      <c r="O54" s="29">
        <f>SUM(PERINTIS!H54,PELRA!H54,'ANGKUTAN LAUT DALAM NEGERI'!H54,'ANGKUTAN LAUT LUAR NEGERI'!H54)</f>
        <v>0</v>
      </c>
      <c r="P54" s="31">
        <f>SUM(PELRA!J54)</f>
        <v>0</v>
      </c>
      <c r="Q54" s="29">
        <f>SUM(PERINTIS!M54,'ANGKUTAN PENYEBRANGAN'!H54)</f>
        <v>0</v>
      </c>
      <c r="R54" s="29">
        <f>SUM('ANGKUTAN PENYEBRANGAN'!G54)</f>
        <v>0</v>
      </c>
      <c r="S54" s="29">
        <f>SUM('ANGKUTAN LAUT LUAR NEGERI'!I54,'ANGKUTAN LAUT DALAM NEGERI'!I54,PELRA!K54,PERINTIS!I54,'ANGKUTAN PENYEBRANGAN'!I54)</f>
        <v>0</v>
      </c>
      <c r="T54" s="31">
        <f>SUM('ANGKUTAN LAUT LUAR NEGERI'!J54,'ANGKUTAN LAUT DALAM NEGERI'!J54,PELRA!L54,PERINTIS!J54,'ANGKUTAN PENYEBRANGAN'!J54)</f>
        <v>0</v>
      </c>
      <c r="U54" s="32">
        <f>SUM('ANGKUTAN LAUT LUAR NEGERI'!K54,'ANGKUTAN LAUT DALAM NEGERI'!K54,PELRA!M54,PERINTIS!K54,'ANGKUTAN PENYEBRANGAN'!K54)</f>
        <v>0</v>
      </c>
    </row>
    <row r="55" spans="1:21">
      <c r="A55" s="33" t="s">
        <v>24</v>
      </c>
      <c r="B55" s="29">
        <f>SUM('ANGKUTAN LAUT LUAR NEGERI'!C55)</f>
        <v>0</v>
      </c>
      <c r="C55" s="29">
        <f>SUM('ANGKUTAN LAUT DALAM NEGERI'!C55)</f>
        <v>0</v>
      </c>
      <c r="D55" s="29">
        <f>SUM(PELRA!C55)</f>
        <v>0</v>
      </c>
      <c r="E55" s="29">
        <f>SUM(PERINTIS!C55)</f>
        <v>0</v>
      </c>
      <c r="F55" s="29">
        <f>SUM('ANGKUTAN PENYEBRANGAN'!C55)</f>
        <v>0</v>
      </c>
      <c r="G55" s="29">
        <f t="shared" si="6"/>
        <v>0</v>
      </c>
      <c r="H55" s="30">
        <f>SUM('ANGKUTAN LAUT LUAR NEGERI'!D55,'ANGKUTAN LAUT DALAM NEGERI'!D55,PELRA!D55,PERINTIS!D55,'ANGKUTAN PENYEBRANGAN'!D55)</f>
        <v>0</v>
      </c>
      <c r="I55" s="30">
        <f>SUM(PERINTIS!E55,PELRA!E55,'ANGKUTAN LAUT DALAM NEGERI'!E55,'ANGKUTAN LAUT LUAR NEGERI'!E55)</f>
        <v>0</v>
      </c>
      <c r="J55" s="30">
        <f>SUM(PERINTIS!F55,PELRA!F55,'ANGKUTAN LAUT DALAM NEGERI'!F55,'ANGKUTAN LAUT LUAR NEGERI'!F55)</f>
        <v>0</v>
      </c>
      <c r="K55" s="29">
        <f>SUM(PELRA!I55)</f>
        <v>0</v>
      </c>
      <c r="L55" s="29">
        <f>SUM(PERINTIS!L55,'ANGKUTAN PENYEBRANGAN'!F55)</f>
        <v>0</v>
      </c>
      <c r="M55" s="29">
        <f>SUM('ANGKUTAN PENYEBRANGAN'!E55)</f>
        <v>0</v>
      </c>
      <c r="N55" s="30">
        <f>SUM(PERINTIS!G55,PELRA!G55,'ANGKUTAN LAUT DALAM NEGERI'!G55,'ANGKUTAN LAUT LUAR NEGERI'!G55)</f>
        <v>0</v>
      </c>
      <c r="O55" s="29">
        <f>SUM(PERINTIS!H55,PELRA!H55,'ANGKUTAN LAUT DALAM NEGERI'!H55,'ANGKUTAN LAUT LUAR NEGERI'!H55)</f>
        <v>0</v>
      </c>
      <c r="P55" s="31">
        <f>SUM(PELRA!J55)</f>
        <v>0</v>
      </c>
      <c r="Q55" s="29">
        <f>SUM(PERINTIS!M55,'ANGKUTAN PENYEBRANGAN'!H55)</f>
        <v>0</v>
      </c>
      <c r="R55" s="29">
        <f>SUM('ANGKUTAN PENYEBRANGAN'!G55)</f>
        <v>0</v>
      </c>
      <c r="S55" s="29">
        <f>SUM('ANGKUTAN LAUT LUAR NEGERI'!I55,'ANGKUTAN LAUT DALAM NEGERI'!I55,PELRA!K55,PERINTIS!I55,'ANGKUTAN PENYEBRANGAN'!I55)</f>
        <v>0</v>
      </c>
      <c r="T55" s="31">
        <f>SUM('ANGKUTAN LAUT LUAR NEGERI'!J55,'ANGKUTAN LAUT DALAM NEGERI'!J55,PELRA!L55,PERINTIS!J55,'ANGKUTAN PENYEBRANGAN'!J55)</f>
        <v>0</v>
      </c>
      <c r="U55" s="32">
        <f>SUM('ANGKUTAN LAUT LUAR NEGERI'!K55,'ANGKUTAN LAUT DALAM NEGERI'!K55,PELRA!M55,PERINTIS!K55,'ANGKUTAN PENYEBRANGAN'!K55)</f>
        <v>0</v>
      </c>
    </row>
    <row r="56" ht="14.25" spans="1:21">
      <c r="A56" s="35" t="s">
        <v>25</v>
      </c>
      <c r="B56" s="36">
        <f>SUM('ANGKUTAN LAUT LUAR NEGERI'!C56)</f>
        <v>0</v>
      </c>
      <c r="C56" s="36">
        <f>SUM('ANGKUTAN LAUT DALAM NEGERI'!C56)</f>
        <v>0</v>
      </c>
      <c r="D56" s="36">
        <f>SUM(PELRA!C56)</f>
        <v>0</v>
      </c>
      <c r="E56" s="36">
        <f>SUM(PERINTIS!C56)</f>
        <v>0</v>
      </c>
      <c r="F56" s="36">
        <f>SUM('ANGKUTAN PENYEBRANGAN'!C56)</f>
        <v>0</v>
      </c>
      <c r="G56" s="36">
        <f t="shared" si="6"/>
        <v>0</v>
      </c>
      <c r="H56" s="37">
        <f>SUM('ANGKUTAN LAUT LUAR NEGERI'!D56,'ANGKUTAN LAUT DALAM NEGERI'!D56,PELRA!D56,PERINTIS!D56,'ANGKUTAN PENYEBRANGAN'!D56)</f>
        <v>0</v>
      </c>
      <c r="I56" s="37">
        <f>SUM(PERINTIS!E56,PELRA!E56,'ANGKUTAN LAUT DALAM NEGERI'!E56,'ANGKUTAN LAUT LUAR NEGERI'!E56)</f>
        <v>0</v>
      </c>
      <c r="J56" s="37">
        <f>SUM(PERINTIS!F56,PELRA!F56,'ANGKUTAN LAUT DALAM NEGERI'!F56,'ANGKUTAN LAUT LUAR NEGERI'!F56)</f>
        <v>0</v>
      </c>
      <c r="K56" s="36">
        <f>SUM(PELRA!I56)</f>
        <v>0</v>
      </c>
      <c r="L56" s="36">
        <f>SUM(PERINTIS!L56,'ANGKUTAN PENYEBRANGAN'!F56)</f>
        <v>0</v>
      </c>
      <c r="M56" s="36">
        <f>SUM('ANGKUTAN PENYEBRANGAN'!E56)</f>
        <v>0</v>
      </c>
      <c r="N56" s="37">
        <f>SUM(PERINTIS!G56,PELRA!G56,'ANGKUTAN LAUT DALAM NEGERI'!G56,'ANGKUTAN LAUT LUAR NEGERI'!G56)</f>
        <v>0</v>
      </c>
      <c r="O56" s="36">
        <f>SUM(PERINTIS!H56,PELRA!H56,'ANGKUTAN LAUT DALAM NEGERI'!H56,'ANGKUTAN LAUT LUAR NEGERI'!H56)</f>
        <v>0</v>
      </c>
      <c r="P56" s="38">
        <f>SUM(PELRA!J56)</f>
        <v>0</v>
      </c>
      <c r="Q56" s="36">
        <f>SUM(PERINTIS!M56,'ANGKUTAN PENYEBRANGAN'!H56)</f>
        <v>0</v>
      </c>
      <c r="R56" s="36">
        <f>SUM('ANGKUTAN PENYEBRANGAN'!G56)</f>
        <v>0</v>
      </c>
      <c r="S56" s="36">
        <f>SUM('ANGKUTAN LAUT LUAR NEGERI'!I56,'ANGKUTAN LAUT DALAM NEGERI'!I56,PELRA!K56,PERINTIS!I56,'ANGKUTAN PENYEBRANGAN'!I56)</f>
        <v>0</v>
      </c>
      <c r="T56" s="38">
        <f>SUM('ANGKUTAN LAUT LUAR NEGERI'!J56,'ANGKUTAN LAUT DALAM NEGERI'!J56,PELRA!L56,PERINTIS!J56,'ANGKUTAN PENYEBRANGAN'!J56)</f>
        <v>0</v>
      </c>
      <c r="U56" s="39">
        <f>SUM('ANGKUTAN LAUT LUAR NEGERI'!K56,'ANGKUTAN LAUT DALAM NEGERI'!K56,PELRA!M56,PERINTIS!K56,'ANGKUTAN PENYEBRANGAN'!K56)</f>
        <v>0</v>
      </c>
    </row>
    <row r="57" ht="15" spans="1:21">
      <c r="A57" s="40" t="s">
        <v>26</v>
      </c>
      <c r="B57" s="41">
        <f t="shared" ref="B57:U57" si="7">SUM(B45:B56)</f>
        <v>0</v>
      </c>
      <c r="C57" s="41">
        <f t="shared" si="7"/>
        <v>0</v>
      </c>
      <c r="D57" s="41">
        <f t="shared" si="7"/>
        <v>6</v>
      </c>
      <c r="E57" s="41">
        <f t="shared" si="7"/>
        <v>10</v>
      </c>
      <c r="F57" s="41">
        <f t="shared" si="7"/>
        <v>20</v>
      </c>
      <c r="G57" s="41">
        <f t="shared" si="7"/>
        <v>36</v>
      </c>
      <c r="H57" s="41">
        <f t="shared" si="7"/>
        <v>38137</v>
      </c>
      <c r="I57" s="41">
        <f t="shared" si="7"/>
        <v>97</v>
      </c>
      <c r="J57" s="41">
        <f t="shared" si="7"/>
        <v>0</v>
      </c>
      <c r="K57" s="41">
        <f t="shared" si="7"/>
        <v>0</v>
      </c>
      <c r="L57" s="41">
        <f t="shared" si="7"/>
        <v>152</v>
      </c>
      <c r="M57" s="41">
        <f t="shared" si="7"/>
        <v>0</v>
      </c>
      <c r="N57" s="41">
        <f t="shared" si="7"/>
        <v>80</v>
      </c>
      <c r="O57" s="41">
        <f t="shared" si="7"/>
        <v>0</v>
      </c>
      <c r="P57" s="41">
        <f t="shared" si="7"/>
        <v>0</v>
      </c>
      <c r="Q57" s="41">
        <f t="shared" si="7"/>
        <v>150</v>
      </c>
      <c r="R57" s="41">
        <f t="shared" si="7"/>
        <v>0</v>
      </c>
      <c r="S57" s="41">
        <f t="shared" si="7"/>
        <v>975</v>
      </c>
      <c r="T57" s="42">
        <f t="shared" ref="T57" si="8">SUM(T45:T56)</f>
        <v>727</v>
      </c>
      <c r="U57" s="43">
        <f t="shared" si="7"/>
        <v>2683</v>
      </c>
    </row>
    <row r="58" ht="15"/>
    <row r="59" ht="15" spans="1:21">
      <c r="A59" s="3" t="s">
        <v>29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</row>
    <row r="60" ht="14.25" spans="1:21">
      <c r="A60" s="6" t="s">
        <v>5</v>
      </c>
      <c r="B60" s="7" t="s">
        <v>55</v>
      </c>
      <c r="C60" s="8"/>
      <c r="D60" s="8"/>
      <c r="E60" s="8"/>
      <c r="F60" s="9"/>
      <c r="G60" s="7" t="s">
        <v>56</v>
      </c>
      <c r="H60" s="9"/>
      <c r="I60" s="7" t="s">
        <v>39</v>
      </c>
      <c r="J60" s="8"/>
      <c r="K60" s="8"/>
      <c r="L60" s="8"/>
      <c r="M60" s="9"/>
      <c r="N60" s="7" t="s">
        <v>40</v>
      </c>
      <c r="O60" s="8"/>
      <c r="P60" s="8"/>
      <c r="Q60" s="8"/>
      <c r="R60" s="9"/>
      <c r="S60" s="7" t="s">
        <v>38</v>
      </c>
      <c r="T60" s="8"/>
      <c r="U60" s="10"/>
    </row>
    <row r="61" ht="16.5" customHeight="1" spans="1:21">
      <c r="A61" s="11"/>
      <c r="B61" s="12" t="s">
        <v>57</v>
      </c>
      <c r="C61" s="12" t="s">
        <v>58</v>
      </c>
      <c r="D61" s="13" t="s">
        <v>59</v>
      </c>
      <c r="E61" s="13" t="s">
        <v>47</v>
      </c>
      <c r="F61" s="13" t="s">
        <v>60</v>
      </c>
      <c r="G61" s="12" t="s">
        <v>61</v>
      </c>
      <c r="H61" s="13" t="s">
        <v>62</v>
      </c>
      <c r="I61" s="14" t="s">
        <v>63</v>
      </c>
      <c r="J61" s="15"/>
      <c r="K61" s="12" t="s">
        <v>64</v>
      </c>
      <c r="L61" s="14" t="s">
        <v>65</v>
      </c>
      <c r="M61" s="15"/>
      <c r="N61" s="14" t="s">
        <v>63</v>
      </c>
      <c r="O61" s="15"/>
      <c r="P61" s="12" t="s">
        <v>64</v>
      </c>
      <c r="Q61" s="14" t="s">
        <v>65</v>
      </c>
      <c r="R61" s="15"/>
      <c r="S61" s="16" t="s">
        <v>43</v>
      </c>
      <c r="T61" s="14" t="s">
        <v>44</v>
      </c>
      <c r="U61" s="17" t="s">
        <v>45</v>
      </c>
    </row>
    <row r="62" ht="14.25" spans="1:21">
      <c r="A62" s="18"/>
      <c r="B62" s="19"/>
      <c r="C62" s="19"/>
      <c r="D62" s="20"/>
      <c r="E62" s="20"/>
      <c r="F62" s="20"/>
      <c r="G62" s="19"/>
      <c r="H62" s="20"/>
      <c r="I62" s="20" t="s">
        <v>41</v>
      </c>
      <c r="J62" s="20" t="s">
        <v>42</v>
      </c>
      <c r="K62" s="19"/>
      <c r="L62" s="20" t="s">
        <v>48</v>
      </c>
      <c r="M62" s="20" t="s">
        <v>51</v>
      </c>
      <c r="N62" s="20" t="s">
        <v>41</v>
      </c>
      <c r="O62" s="20" t="s">
        <v>42</v>
      </c>
      <c r="P62" s="19"/>
      <c r="Q62" s="20" t="s">
        <v>48</v>
      </c>
      <c r="R62" s="20" t="s">
        <v>51</v>
      </c>
      <c r="S62" s="20" t="s">
        <v>66</v>
      </c>
      <c r="T62" s="21" t="s">
        <v>67</v>
      </c>
      <c r="U62" s="22" t="s">
        <v>67</v>
      </c>
    </row>
    <row r="63" ht="14.25" spans="1:21">
      <c r="A63" s="23" t="s">
        <v>14</v>
      </c>
      <c r="B63" s="24">
        <f>SUM('ANGKUTAN LAUT LUAR NEGERI'!C63)</f>
        <v>0</v>
      </c>
      <c r="C63" s="24">
        <f>SUM('ANGKUTAN LAUT DALAM NEGERI'!C63)</f>
        <v>0</v>
      </c>
      <c r="D63" s="24">
        <f>SUM(PELRA!C63)</f>
        <v>6</v>
      </c>
      <c r="E63" s="24">
        <f>SUM(PERINTIS!C63)</f>
        <v>10</v>
      </c>
      <c r="F63" s="24">
        <f>SUM('ANGKUTAN PENYEBRANGAN'!C63)</f>
        <v>8</v>
      </c>
      <c r="G63" s="24">
        <f>SUM(B63:F63)</f>
        <v>24</v>
      </c>
      <c r="H63" s="25">
        <f>SUM('ANGKUTAN LAUT LUAR NEGERI'!D63,'ANGKUTAN LAUT DALAM NEGERI'!D63,PELRA!D63,PERINTIS!D63,'ANGKUTAN PENYEBRANGAN'!D63)</f>
        <v>21618</v>
      </c>
      <c r="I63" s="25">
        <f>SUM(PERINTIS!E63,PELRA!E63,'ANGKUTAN LAUT DALAM NEGERI'!E63,'ANGKUTAN LAUT LUAR NEGERI'!E63)</f>
        <v>171</v>
      </c>
      <c r="J63" s="25">
        <f>SUM(PERINTIS!F63,PELRA!F63,'ANGKUTAN LAUT DALAM NEGERI'!F63,'ANGKUTAN LAUT LUAR NEGERI'!F63)</f>
        <v>0</v>
      </c>
      <c r="K63" s="24">
        <f>SUM(PELRA!I63)</f>
        <v>0</v>
      </c>
      <c r="L63" s="24">
        <f>SUM(PERINTIS!L63,'ANGKUTAN PENYEBRANGAN'!F63)</f>
        <v>14</v>
      </c>
      <c r="M63" s="24">
        <f>SUM('ANGKUTAN PENYEBRANGAN'!E63)</f>
        <v>4</v>
      </c>
      <c r="N63" s="25">
        <f>SUM(PERINTIS!G63,PELRA!G63,'ANGKUTAN LAUT DALAM NEGERI'!G63,'ANGKUTAN LAUT LUAR NEGERI'!G63)</f>
        <v>6</v>
      </c>
      <c r="O63" s="24">
        <f>SUM(PERINTIS!H63,PELRA!H63,'ANGKUTAN LAUT DALAM NEGERI'!H63,'ANGKUTAN LAUT LUAR NEGERI'!H63)</f>
        <v>0</v>
      </c>
      <c r="P63" s="26">
        <f>SUM(PELRA!J63)</f>
        <v>50</v>
      </c>
      <c r="Q63" s="24">
        <f>SUM(PERINTIS!M63,'ANGKUTAN PENYEBRANGAN'!H63)</f>
        <v>9</v>
      </c>
      <c r="R63" s="24">
        <f>SUM('ANGKUTAN PENYEBRANGAN'!G63)</f>
        <v>1</v>
      </c>
      <c r="S63" s="24">
        <f>SUM('ANGKUTAN LAUT LUAR NEGERI'!I63,'ANGKUTAN LAUT DALAM NEGERI'!I63,PELRA!K63,PERINTIS!I63,'ANGKUTAN PENYEBRANGAN'!I63)</f>
        <v>785</v>
      </c>
      <c r="T63" s="26">
        <f>SUM('ANGKUTAN LAUT LUAR NEGERI'!J63,'ANGKUTAN LAUT DALAM NEGERI'!J63,PELRA!L63,PERINTIS!J63,'ANGKUTAN PENYEBRANGAN'!J63)</f>
        <v>364</v>
      </c>
      <c r="U63" s="27">
        <f>SUM('ANGKUTAN LAUT LUAR NEGERI'!K63,'ANGKUTAN LAUT DALAM NEGERI'!K63,PELRA!M63,PERINTIS!K63,'ANGKUTAN PENYEBRANGAN'!K63)</f>
        <v>784</v>
      </c>
    </row>
    <row r="64" spans="1:21">
      <c r="A64" s="28" t="s">
        <v>15</v>
      </c>
      <c r="B64" s="47">
        <f>SUM('ANGKUTAN LAUT LUAR NEGERI'!C64)</f>
        <v>0</v>
      </c>
      <c r="C64" s="47">
        <f>SUM('ANGKUTAN LAUT DALAM NEGERI'!C64)</f>
        <v>0</v>
      </c>
      <c r="D64" s="47">
        <f>SUM(PELRA!C64)</f>
        <v>6</v>
      </c>
      <c r="E64" s="47">
        <f>SUM(PERINTIS!C64)</f>
        <v>15</v>
      </c>
      <c r="F64" s="47">
        <f>SUM('ANGKUTAN PENYEBRANGAN'!C64)</f>
        <v>12</v>
      </c>
      <c r="G64" s="47">
        <f t="shared" ref="G64:G74" si="9">SUM(B64:F64)</f>
        <v>33</v>
      </c>
      <c r="H64" s="48">
        <f>SUM('ANGKUTAN LAUT LUAR NEGERI'!D64,'ANGKUTAN LAUT DALAM NEGERI'!D64,PELRA!D64,PERINTIS!D64,'ANGKUTAN PENYEBRANGAN'!D64)</f>
        <v>28585</v>
      </c>
      <c r="I64" s="30">
        <f>SUM(PERINTIS!E64,PELRA!E64,'ANGKUTAN LAUT DALAM NEGERI'!E64,'ANGKUTAN LAUT LUAR NEGERI'!E64)</f>
        <v>144</v>
      </c>
      <c r="J64" s="30">
        <f>SUM(PERINTIS!F64,PELRA!F64,'ANGKUTAN LAUT DALAM NEGERI'!F64,'ANGKUTAN LAUT LUAR NEGERI'!F64)</f>
        <v>0</v>
      </c>
      <c r="K64" s="47">
        <f>SUM(PELRA!I64)</f>
        <v>0</v>
      </c>
      <c r="L64" s="47">
        <f>SUM(PERINTIS!L64,'ANGKUTAN PENYEBRANGAN'!F64)</f>
        <v>14</v>
      </c>
      <c r="M64" s="47">
        <f>SUM('ANGKUTAN PENYEBRANGAN'!E64)</f>
        <v>2</v>
      </c>
      <c r="N64" s="30">
        <f>SUM(PERINTIS!G64,PELRA!G64,'ANGKUTAN LAUT DALAM NEGERI'!G64,'ANGKUTAN LAUT LUAR NEGERI'!G64)</f>
        <v>6</v>
      </c>
      <c r="O64" s="29">
        <f>SUM(PERINTIS!H64,PELRA!H64,'ANGKUTAN LAUT DALAM NEGERI'!H64,'ANGKUTAN LAUT LUAR NEGERI'!H64)</f>
        <v>0</v>
      </c>
      <c r="P64" s="49">
        <f>SUM(PELRA!J64)</f>
        <v>30</v>
      </c>
      <c r="Q64" s="47">
        <f>SUM(PERINTIS!M64,'ANGKUTAN PENYEBRANGAN'!H64)</f>
        <v>3</v>
      </c>
      <c r="R64" s="47">
        <f>SUM('ANGKUTAN PENYEBRANGAN'!G64)</f>
        <v>2</v>
      </c>
      <c r="S64" s="47">
        <f>SUM('ANGKUTAN LAUT LUAR NEGERI'!I64,'ANGKUTAN LAUT DALAM NEGERI'!I64,PELRA!K64,PERINTIS!I64,'ANGKUTAN PENYEBRANGAN'!I64)</f>
        <v>527</v>
      </c>
      <c r="T64" s="49">
        <f>SUM('ANGKUTAN LAUT LUAR NEGERI'!J64,'ANGKUTAN LAUT DALAM NEGERI'!J64,PELRA!L64,PERINTIS!J64,'ANGKUTAN PENYEBRANGAN'!J64)</f>
        <v>364</v>
      </c>
      <c r="U64" s="50">
        <f>SUM('ANGKUTAN LAUT LUAR NEGERI'!K64,'ANGKUTAN LAUT DALAM NEGERI'!K64,PELRA!M64,PERINTIS!K64,'ANGKUTAN PENYEBRANGAN'!K64)</f>
        <v>633</v>
      </c>
    </row>
    <row r="65" spans="1:21">
      <c r="A65" s="33" t="s">
        <v>16</v>
      </c>
      <c r="B65" s="29">
        <f>SUM('ANGKUTAN LAUT LUAR NEGERI'!C65)</f>
        <v>0</v>
      </c>
      <c r="C65" s="29">
        <f>SUM('ANGKUTAN LAUT DALAM NEGERI'!C65)</f>
        <v>0</v>
      </c>
      <c r="D65" s="29">
        <f>SUM(PELRA!C65)</f>
        <v>0</v>
      </c>
      <c r="E65" s="29">
        <f>SUM(PERINTIS!C65)</f>
        <v>0</v>
      </c>
      <c r="F65" s="29">
        <f>SUM('ANGKUTAN PENYEBRANGAN'!C65)</f>
        <v>0</v>
      </c>
      <c r="G65" s="29">
        <f t="shared" si="9"/>
        <v>0</v>
      </c>
      <c r="H65" s="30">
        <f>SUM('ANGKUTAN LAUT LUAR NEGERI'!D65,'ANGKUTAN LAUT DALAM NEGERI'!D65,PELRA!D65,PERINTIS!D65,'ANGKUTAN PENYEBRANGAN'!D65)</f>
        <v>0</v>
      </c>
      <c r="I65" s="30">
        <f>SUM(PERINTIS!E65,PELRA!E65,'ANGKUTAN LAUT DALAM NEGERI'!E65,'ANGKUTAN LAUT LUAR NEGERI'!E65)</f>
        <v>0</v>
      </c>
      <c r="J65" s="30">
        <f>SUM(PERINTIS!F65,PELRA!F65,'ANGKUTAN LAUT DALAM NEGERI'!F65,'ANGKUTAN LAUT LUAR NEGERI'!F65)</f>
        <v>0</v>
      </c>
      <c r="K65" s="29">
        <f>SUM(PELRA!I65)</f>
        <v>0</v>
      </c>
      <c r="L65" s="29">
        <f>SUM(PERINTIS!L65,'ANGKUTAN PENYEBRANGAN'!F65)</f>
        <v>0</v>
      </c>
      <c r="M65" s="29">
        <f>SUM('ANGKUTAN PENYEBRANGAN'!E65)</f>
        <v>0</v>
      </c>
      <c r="N65" s="30">
        <f>SUM(PERINTIS!G65,PELRA!G65,'ANGKUTAN LAUT DALAM NEGERI'!G65,'ANGKUTAN LAUT LUAR NEGERI'!G65)</f>
        <v>0</v>
      </c>
      <c r="O65" s="29">
        <f>SUM(PERINTIS!H65,PELRA!H65,'ANGKUTAN LAUT DALAM NEGERI'!H65,'ANGKUTAN LAUT LUAR NEGERI'!H65)</f>
        <v>0</v>
      </c>
      <c r="P65" s="31">
        <f>SUM(PELRA!J65)</f>
        <v>0</v>
      </c>
      <c r="Q65" s="29">
        <f>SUM(PERINTIS!M65,'ANGKUTAN PENYEBRANGAN'!H65)</f>
        <v>0</v>
      </c>
      <c r="R65" s="29">
        <f>SUM('ANGKUTAN PENYEBRANGAN'!G65)</f>
        <v>0</v>
      </c>
      <c r="S65" s="29">
        <f>SUM('ANGKUTAN LAUT LUAR NEGERI'!I65,'ANGKUTAN LAUT DALAM NEGERI'!I65,PELRA!K65,PERINTIS!I65,'ANGKUTAN PENYEBRANGAN'!I65)</f>
        <v>0</v>
      </c>
      <c r="T65" s="31">
        <f>SUM('ANGKUTAN LAUT LUAR NEGERI'!J65,'ANGKUTAN LAUT DALAM NEGERI'!J65,PELRA!L65,PERINTIS!J65,'ANGKUTAN PENYEBRANGAN'!J65)</f>
        <v>0</v>
      </c>
      <c r="U65" s="32">
        <f>SUM('ANGKUTAN LAUT LUAR NEGERI'!K65,'ANGKUTAN LAUT DALAM NEGERI'!K65,PELRA!M65,PERINTIS!K65,'ANGKUTAN PENYEBRANGAN'!K65)</f>
        <v>0</v>
      </c>
    </row>
    <row r="66" spans="1:21">
      <c r="A66" s="28" t="s">
        <v>17</v>
      </c>
      <c r="B66" s="29">
        <f>SUM('ANGKUTAN LAUT LUAR NEGERI'!C66)</f>
        <v>0</v>
      </c>
      <c r="C66" s="29">
        <f>SUM('ANGKUTAN LAUT DALAM NEGERI'!C66)</f>
        <v>0</v>
      </c>
      <c r="D66" s="29">
        <f>SUM(PELRA!C66)</f>
        <v>0</v>
      </c>
      <c r="E66" s="29">
        <f>SUM(PERINTIS!C66)</f>
        <v>0</v>
      </c>
      <c r="F66" s="29">
        <f>SUM('ANGKUTAN PENYEBRANGAN'!C66)</f>
        <v>0</v>
      </c>
      <c r="G66" s="29">
        <f t="shared" si="9"/>
        <v>0</v>
      </c>
      <c r="H66" s="30">
        <f>SUM('ANGKUTAN LAUT LUAR NEGERI'!D66,'ANGKUTAN LAUT DALAM NEGERI'!D66,PELRA!D66,PERINTIS!D66,'ANGKUTAN PENYEBRANGAN'!D66)</f>
        <v>0</v>
      </c>
      <c r="I66" s="30">
        <f>SUM(PERINTIS!E66,PELRA!E66,'ANGKUTAN LAUT DALAM NEGERI'!E66,'ANGKUTAN LAUT LUAR NEGERI'!E66)</f>
        <v>0</v>
      </c>
      <c r="J66" s="30">
        <f>SUM(PERINTIS!F66,PELRA!F66,'ANGKUTAN LAUT DALAM NEGERI'!F66,'ANGKUTAN LAUT LUAR NEGERI'!F66)</f>
        <v>0</v>
      </c>
      <c r="K66" s="29">
        <f>SUM(PELRA!I66)</f>
        <v>0</v>
      </c>
      <c r="L66" s="29">
        <f>SUM(PERINTIS!L66,'ANGKUTAN PENYEBRANGAN'!F66)</f>
        <v>0</v>
      </c>
      <c r="M66" s="29">
        <f>SUM('ANGKUTAN PENYEBRANGAN'!E66)</f>
        <v>0</v>
      </c>
      <c r="N66" s="30">
        <f>SUM(PERINTIS!G66,PELRA!G66,'ANGKUTAN LAUT DALAM NEGERI'!G66,'ANGKUTAN LAUT LUAR NEGERI'!G66)</f>
        <v>0</v>
      </c>
      <c r="O66" s="29">
        <f>SUM(PERINTIS!H66,PELRA!H66,'ANGKUTAN LAUT DALAM NEGERI'!H66,'ANGKUTAN LAUT LUAR NEGERI'!H66)</f>
        <v>0</v>
      </c>
      <c r="P66" s="31">
        <f>SUM(PELRA!J66)</f>
        <v>0</v>
      </c>
      <c r="Q66" s="29">
        <f>SUM(PERINTIS!M66,'ANGKUTAN PENYEBRANGAN'!H66)</f>
        <v>0</v>
      </c>
      <c r="R66" s="29">
        <f>SUM('ANGKUTAN PENYEBRANGAN'!G66)</f>
        <v>0</v>
      </c>
      <c r="S66" s="29">
        <f>SUM('ANGKUTAN LAUT LUAR NEGERI'!I66,'ANGKUTAN LAUT DALAM NEGERI'!I66,PELRA!K66,PERINTIS!I66,'ANGKUTAN PENYEBRANGAN'!I66)</f>
        <v>0</v>
      </c>
      <c r="T66" s="31">
        <f>SUM('ANGKUTAN LAUT LUAR NEGERI'!J66,'ANGKUTAN LAUT DALAM NEGERI'!J66,PELRA!L66,PERINTIS!J66,'ANGKUTAN PENYEBRANGAN'!J66)</f>
        <v>0</v>
      </c>
      <c r="U66" s="32">
        <f>SUM('ANGKUTAN LAUT LUAR NEGERI'!K66,'ANGKUTAN LAUT DALAM NEGERI'!K66,PELRA!M66,PERINTIS!K66,'ANGKUTAN PENYEBRANGAN'!K66)</f>
        <v>0</v>
      </c>
    </row>
    <row r="67" spans="1:21">
      <c r="A67" s="28" t="s">
        <v>18</v>
      </c>
      <c r="B67" s="29">
        <f>SUM('ANGKUTAN LAUT LUAR NEGERI'!C67)</f>
        <v>0</v>
      </c>
      <c r="C67" s="29">
        <f>SUM('ANGKUTAN LAUT DALAM NEGERI'!C67)</f>
        <v>0</v>
      </c>
      <c r="D67" s="29">
        <f>SUM(PELRA!C67)</f>
        <v>0</v>
      </c>
      <c r="E67" s="29">
        <f>SUM(PERINTIS!C67)</f>
        <v>0</v>
      </c>
      <c r="F67" s="29">
        <f>SUM('ANGKUTAN PENYEBRANGAN'!C67)</f>
        <v>0</v>
      </c>
      <c r="G67" s="29">
        <f t="shared" si="9"/>
        <v>0</v>
      </c>
      <c r="H67" s="30">
        <f>SUM('ANGKUTAN LAUT LUAR NEGERI'!D67,'ANGKUTAN LAUT DALAM NEGERI'!D67,PELRA!D67,PERINTIS!D67,'ANGKUTAN PENYEBRANGAN'!D67)</f>
        <v>0</v>
      </c>
      <c r="I67" s="30">
        <f>SUM(PERINTIS!E67,PELRA!E67,'ANGKUTAN LAUT DALAM NEGERI'!E67,'ANGKUTAN LAUT LUAR NEGERI'!E67)</f>
        <v>0</v>
      </c>
      <c r="J67" s="30">
        <f>SUM(PERINTIS!F67,PELRA!F67,'ANGKUTAN LAUT DALAM NEGERI'!F67,'ANGKUTAN LAUT LUAR NEGERI'!F67)</f>
        <v>0</v>
      </c>
      <c r="K67" s="29">
        <f>SUM(PELRA!I67)</f>
        <v>0</v>
      </c>
      <c r="L67" s="29">
        <f>SUM(PERINTIS!L67,'ANGKUTAN PENYEBRANGAN'!F67)</f>
        <v>0</v>
      </c>
      <c r="M67" s="29">
        <f>SUM('ANGKUTAN PENYEBRANGAN'!E67)</f>
        <v>0</v>
      </c>
      <c r="N67" s="30">
        <f>SUM(PERINTIS!G67,PELRA!G67,'ANGKUTAN LAUT DALAM NEGERI'!G67,'ANGKUTAN LAUT LUAR NEGERI'!G67)</f>
        <v>0</v>
      </c>
      <c r="O67" s="29">
        <f>SUM(PERINTIS!H67,PELRA!H67,'ANGKUTAN LAUT DALAM NEGERI'!H67,'ANGKUTAN LAUT LUAR NEGERI'!H67)</f>
        <v>0</v>
      </c>
      <c r="P67" s="31">
        <f>SUM(PELRA!J67)</f>
        <v>0</v>
      </c>
      <c r="Q67" s="29">
        <f>SUM(PERINTIS!M67,'ANGKUTAN PENYEBRANGAN'!H67)</f>
        <v>0</v>
      </c>
      <c r="R67" s="29">
        <f>SUM('ANGKUTAN PENYEBRANGAN'!G67)</f>
        <v>0</v>
      </c>
      <c r="S67" s="29">
        <f>SUM('ANGKUTAN LAUT LUAR NEGERI'!I67,'ANGKUTAN LAUT DALAM NEGERI'!I67,PELRA!K67,PERINTIS!I67,'ANGKUTAN PENYEBRANGAN'!I67)</f>
        <v>0</v>
      </c>
      <c r="T67" s="31">
        <f>SUM('ANGKUTAN LAUT LUAR NEGERI'!J67,'ANGKUTAN LAUT DALAM NEGERI'!J67,PELRA!L67,PERINTIS!J67,'ANGKUTAN PENYEBRANGAN'!J67)</f>
        <v>0</v>
      </c>
      <c r="U67" s="32">
        <f>SUM('ANGKUTAN LAUT LUAR NEGERI'!K67,'ANGKUTAN LAUT DALAM NEGERI'!K67,PELRA!M67,PERINTIS!K67,'ANGKUTAN PENYEBRANGAN'!K67)</f>
        <v>0</v>
      </c>
    </row>
    <row r="68" spans="1:21">
      <c r="A68" s="34" t="s">
        <v>19</v>
      </c>
      <c r="B68" s="29">
        <f>SUM('ANGKUTAN LAUT LUAR NEGERI'!C68)</f>
        <v>0</v>
      </c>
      <c r="C68" s="29">
        <f>SUM('ANGKUTAN LAUT DALAM NEGERI'!C68)</f>
        <v>0</v>
      </c>
      <c r="D68" s="29">
        <f>SUM(PELRA!C68)</f>
        <v>0</v>
      </c>
      <c r="E68" s="29">
        <f>SUM(PERINTIS!C68)</f>
        <v>0</v>
      </c>
      <c r="F68" s="29">
        <f>SUM('ANGKUTAN PENYEBRANGAN'!C68)</f>
        <v>0</v>
      </c>
      <c r="G68" s="29">
        <f t="shared" si="9"/>
        <v>0</v>
      </c>
      <c r="H68" s="30">
        <f>SUM('ANGKUTAN LAUT LUAR NEGERI'!D68,'ANGKUTAN LAUT DALAM NEGERI'!D68,PELRA!D68,PERINTIS!D68,'ANGKUTAN PENYEBRANGAN'!D68)</f>
        <v>0</v>
      </c>
      <c r="I68" s="30">
        <f>SUM(PERINTIS!E68,PELRA!E68,'ANGKUTAN LAUT DALAM NEGERI'!E68,'ANGKUTAN LAUT LUAR NEGERI'!E68)</f>
        <v>0</v>
      </c>
      <c r="J68" s="30">
        <f>SUM(PERINTIS!F68,PELRA!F68,'ANGKUTAN LAUT DALAM NEGERI'!F68,'ANGKUTAN LAUT LUAR NEGERI'!F68)</f>
        <v>0</v>
      </c>
      <c r="K68" s="29">
        <f>SUM(PELRA!I68)</f>
        <v>0</v>
      </c>
      <c r="L68" s="29">
        <f>SUM(PERINTIS!L68,'ANGKUTAN PENYEBRANGAN'!F68)</f>
        <v>0</v>
      </c>
      <c r="M68" s="29">
        <f>SUM('ANGKUTAN PENYEBRANGAN'!E68)</f>
        <v>0</v>
      </c>
      <c r="N68" s="30">
        <f>SUM(PERINTIS!G68,PELRA!G68,'ANGKUTAN LAUT DALAM NEGERI'!G68,'ANGKUTAN LAUT LUAR NEGERI'!G68)</f>
        <v>0</v>
      </c>
      <c r="O68" s="29">
        <f>SUM(PERINTIS!H68,PELRA!H68,'ANGKUTAN LAUT DALAM NEGERI'!H68,'ANGKUTAN LAUT LUAR NEGERI'!H68)</f>
        <v>0</v>
      </c>
      <c r="P68" s="31">
        <f>SUM(PELRA!J68)</f>
        <v>0</v>
      </c>
      <c r="Q68" s="29">
        <f>SUM(PERINTIS!M68,'ANGKUTAN PENYEBRANGAN'!H68)</f>
        <v>0</v>
      </c>
      <c r="R68" s="29">
        <f>SUM('ANGKUTAN PENYEBRANGAN'!G68)</f>
        <v>0</v>
      </c>
      <c r="S68" s="29">
        <f>SUM('ANGKUTAN LAUT LUAR NEGERI'!I68,'ANGKUTAN LAUT DALAM NEGERI'!I68,PELRA!K68,PERINTIS!I68,'ANGKUTAN PENYEBRANGAN'!I68)</f>
        <v>0</v>
      </c>
      <c r="T68" s="31">
        <f>SUM('ANGKUTAN LAUT LUAR NEGERI'!J68,'ANGKUTAN LAUT DALAM NEGERI'!J68,PELRA!L68,PERINTIS!J68,'ANGKUTAN PENYEBRANGAN'!J68)</f>
        <v>0</v>
      </c>
      <c r="U68" s="32">
        <f>SUM('ANGKUTAN LAUT LUAR NEGERI'!K68,'ANGKUTAN LAUT DALAM NEGERI'!K68,PELRA!M68,PERINTIS!K68,'ANGKUTAN PENYEBRANGAN'!K68)</f>
        <v>0</v>
      </c>
    </row>
    <row r="69" spans="1:21">
      <c r="A69" s="28" t="s">
        <v>20</v>
      </c>
      <c r="B69" s="29">
        <f>SUM('ANGKUTAN LAUT LUAR NEGERI'!C69)</f>
        <v>0</v>
      </c>
      <c r="C69" s="29">
        <f>SUM('ANGKUTAN LAUT DALAM NEGERI'!C69)</f>
        <v>0</v>
      </c>
      <c r="D69" s="29">
        <f>SUM(PELRA!C69)</f>
        <v>0</v>
      </c>
      <c r="E69" s="29">
        <f>SUM(PERINTIS!C69)</f>
        <v>0</v>
      </c>
      <c r="F69" s="29">
        <f>SUM('ANGKUTAN PENYEBRANGAN'!C69)</f>
        <v>0</v>
      </c>
      <c r="G69" s="29">
        <f t="shared" si="9"/>
        <v>0</v>
      </c>
      <c r="H69" s="30">
        <f>SUM('ANGKUTAN LAUT LUAR NEGERI'!D69,'ANGKUTAN LAUT DALAM NEGERI'!D69,PELRA!D69,PERINTIS!D69,'ANGKUTAN PENYEBRANGAN'!D69)</f>
        <v>0</v>
      </c>
      <c r="I69" s="30">
        <f>SUM(PERINTIS!E69,PELRA!E69,'ANGKUTAN LAUT DALAM NEGERI'!E69,'ANGKUTAN LAUT LUAR NEGERI'!E69)</f>
        <v>0</v>
      </c>
      <c r="J69" s="30">
        <f>SUM(PERINTIS!F69,PELRA!F69,'ANGKUTAN LAUT DALAM NEGERI'!F69,'ANGKUTAN LAUT LUAR NEGERI'!F69)</f>
        <v>0</v>
      </c>
      <c r="K69" s="29">
        <f>SUM(PELRA!I69)</f>
        <v>0</v>
      </c>
      <c r="L69" s="29">
        <f>SUM(PERINTIS!L69,'ANGKUTAN PENYEBRANGAN'!F69)</f>
        <v>0</v>
      </c>
      <c r="M69" s="29">
        <f>SUM('ANGKUTAN PENYEBRANGAN'!E69)</f>
        <v>0</v>
      </c>
      <c r="N69" s="30">
        <f>SUM(PERINTIS!G69,PELRA!G69,'ANGKUTAN LAUT DALAM NEGERI'!G69,'ANGKUTAN LAUT LUAR NEGERI'!G69)</f>
        <v>0</v>
      </c>
      <c r="O69" s="29">
        <f>SUM(PERINTIS!H69,PELRA!H69,'ANGKUTAN LAUT DALAM NEGERI'!H69,'ANGKUTAN LAUT LUAR NEGERI'!H69)</f>
        <v>0</v>
      </c>
      <c r="P69" s="31">
        <f>SUM(PELRA!J69)</f>
        <v>0</v>
      </c>
      <c r="Q69" s="29">
        <f>SUM(PERINTIS!M69,'ANGKUTAN PENYEBRANGAN'!H69)</f>
        <v>0</v>
      </c>
      <c r="R69" s="29">
        <f>SUM('ANGKUTAN PENYEBRANGAN'!G69)</f>
        <v>0</v>
      </c>
      <c r="S69" s="29">
        <f>SUM('ANGKUTAN LAUT LUAR NEGERI'!I69,'ANGKUTAN LAUT DALAM NEGERI'!I69,PELRA!K69,PERINTIS!I69,'ANGKUTAN PENYEBRANGAN'!I69)</f>
        <v>0</v>
      </c>
      <c r="T69" s="31">
        <f>SUM('ANGKUTAN LAUT LUAR NEGERI'!J69,'ANGKUTAN LAUT DALAM NEGERI'!J69,PELRA!L69,PERINTIS!J69,'ANGKUTAN PENYEBRANGAN'!J69)</f>
        <v>0</v>
      </c>
      <c r="U69" s="32">
        <f>SUM('ANGKUTAN LAUT LUAR NEGERI'!K69,'ANGKUTAN LAUT DALAM NEGERI'!K69,PELRA!M69,PERINTIS!K69,'ANGKUTAN PENYEBRANGAN'!K69)</f>
        <v>0</v>
      </c>
    </row>
    <row r="70" spans="1:21">
      <c r="A70" s="33" t="s">
        <v>21</v>
      </c>
      <c r="B70" s="29">
        <f>SUM('ANGKUTAN LAUT LUAR NEGERI'!C70)</f>
        <v>0</v>
      </c>
      <c r="C70" s="29">
        <f>SUM('ANGKUTAN LAUT DALAM NEGERI'!C70)</f>
        <v>0</v>
      </c>
      <c r="D70" s="29">
        <f>SUM(PELRA!C70)</f>
        <v>0</v>
      </c>
      <c r="E70" s="29">
        <f>SUM(PERINTIS!C70)</f>
        <v>0</v>
      </c>
      <c r="F70" s="29">
        <f>SUM('ANGKUTAN PENYEBRANGAN'!C70)</f>
        <v>0</v>
      </c>
      <c r="G70" s="29">
        <f t="shared" si="9"/>
        <v>0</v>
      </c>
      <c r="H70" s="30">
        <f>SUM('ANGKUTAN LAUT LUAR NEGERI'!D70,'ANGKUTAN LAUT DALAM NEGERI'!D70,PELRA!D70,PERINTIS!D70,'ANGKUTAN PENYEBRANGAN'!D70)</f>
        <v>0</v>
      </c>
      <c r="I70" s="30">
        <f>SUM(PERINTIS!E70,PELRA!E70,'ANGKUTAN LAUT DALAM NEGERI'!E70,'ANGKUTAN LAUT LUAR NEGERI'!E70)</f>
        <v>0</v>
      </c>
      <c r="J70" s="30">
        <f>SUM(PERINTIS!F70,PELRA!F70,'ANGKUTAN LAUT DALAM NEGERI'!F70,'ANGKUTAN LAUT LUAR NEGERI'!F70)</f>
        <v>0</v>
      </c>
      <c r="K70" s="29">
        <f>SUM(PELRA!I70)</f>
        <v>0</v>
      </c>
      <c r="L70" s="29">
        <f>SUM(PERINTIS!L70,'ANGKUTAN PENYEBRANGAN'!F70)</f>
        <v>0</v>
      </c>
      <c r="M70" s="29">
        <f>SUM('ANGKUTAN PENYEBRANGAN'!E70)</f>
        <v>0</v>
      </c>
      <c r="N70" s="30">
        <f>SUM(PERINTIS!G70,PELRA!G70,'ANGKUTAN LAUT DALAM NEGERI'!G70,'ANGKUTAN LAUT LUAR NEGERI'!G70)</f>
        <v>0</v>
      </c>
      <c r="O70" s="29">
        <f>SUM(PERINTIS!H70,PELRA!H70,'ANGKUTAN LAUT DALAM NEGERI'!H70,'ANGKUTAN LAUT LUAR NEGERI'!H70)</f>
        <v>0</v>
      </c>
      <c r="P70" s="31">
        <f>SUM(PELRA!J70)</f>
        <v>0</v>
      </c>
      <c r="Q70" s="29">
        <f>SUM(PERINTIS!M70,'ANGKUTAN PENYEBRANGAN'!H70)</f>
        <v>0</v>
      </c>
      <c r="R70" s="29">
        <f>SUM('ANGKUTAN PENYEBRANGAN'!G70)</f>
        <v>0</v>
      </c>
      <c r="S70" s="29">
        <f>SUM('ANGKUTAN LAUT LUAR NEGERI'!I70,'ANGKUTAN LAUT DALAM NEGERI'!I70,PELRA!K70,PERINTIS!I70,'ANGKUTAN PENYEBRANGAN'!I70)</f>
        <v>0</v>
      </c>
      <c r="T70" s="31">
        <f>SUM('ANGKUTAN LAUT LUAR NEGERI'!J70,'ANGKUTAN LAUT DALAM NEGERI'!J70,PELRA!L70,PERINTIS!J70,'ANGKUTAN PENYEBRANGAN'!J70)</f>
        <v>0</v>
      </c>
      <c r="U70" s="32">
        <f>SUM('ANGKUTAN LAUT LUAR NEGERI'!K70,'ANGKUTAN LAUT DALAM NEGERI'!K70,PELRA!M70,PERINTIS!K70,'ANGKUTAN PENYEBRANGAN'!K70)</f>
        <v>0</v>
      </c>
    </row>
    <row r="71" spans="1:21">
      <c r="A71" s="33" t="s">
        <v>22</v>
      </c>
      <c r="B71" s="29">
        <f>SUM('ANGKUTAN LAUT LUAR NEGERI'!C71)</f>
        <v>0</v>
      </c>
      <c r="C71" s="29">
        <f>SUM('ANGKUTAN LAUT DALAM NEGERI'!C71)</f>
        <v>0</v>
      </c>
      <c r="D71" s="29">
        <f>SUM(PELRA!C71)</f>
        <v>0</v>
      </c>
      <c r="E71" s="29">
        <f>SUM(PERINTIS!C71)</f>
        <v>0</v>
      </c>
      <c r="F71" s="29">
        <f>SUM('ANGKUTAN PENYEBRANGAN'!C71)</f>
        <v>0</v>
      </c>
      <c r="G71" s="29">
        <f t="shared" si="9"/>
        <v>0</v>
      </c>
      <c r="H71" s="30">
        <f>SUM('ANGKUTAN LAUT LUAR NEGERI'!D71,'ANGKUTAN LAUT DALAM NEGERI'!D71,PELRA!D71,PERINTIS!D71,'ANGKUTAN PENYEBRANGAN'!D71)</f>
        <v>0</v>
      </c>
      <c r="I71" s="30">
        <f>SUM(PERINTIS!E71,PELRA!E71,'ANGKUTAN LAUT DALAM NEGERI'!E71,'ANGKUTAN LAUT LUAR NEGERI'!E71)</f>
        <v>0</v>
      </c>
      <c r="J71" s="30">
        <f>SUM(PERINTIS!F71,PELRA!F71,'ANGKUTAN LAUT DALAM NEGERI'!F71,'ANGKUTAN LAUT LUAR NEGERI'!F71)</f>
        <v>0</v>
      </c>
      <c r="K71" s="29">
        <f>SUM(PELRA!I71)</f>
        <v>0</v>
      </c>
      <c r="L71" s="29">
        <f>SUM(PERINTIS!L71,'ANGKUTAN PENYEBRANGAN'!F71)</f>
        <v>0</v>
      </c>
      <c r="M71" s="29">
        <f>SUM('ANGKUTAN PENYEBRANGAN'!E71)</f>
        <v>0</v>
      </c>
      <c r="N71" s="30">
        <f>SUM(PERINTIS!G71,PELRA!G71,'ANGKUTAN LAUT DALAM NEGERI'!G71,'ANGKUTAN LAUT LUAR NEGERI'!G71)</f>
        <v>0</v>
      </c>
      <c r="O71" s="29">
        <f>SUM(PERINTIS!H71,PELRA!H71,'ANGKUTAN LAUT DALAM NEGERI'!H71,'ANGKUTAN LAUT LUAR NEGERI'!H71)</f>
        <v>0</v>
      </c>
      <c r="P71" s="31">
        <f>SUM(PELRA!J71)</f>
        <v>0</v>
      </c>
      <c r="Q71" s="29">
        <f>SUM(PERINTIS!M71,'ANGKUTAN PENYEBRANGAN'!H71)</f>
        <v>0</v>
      </c>
      <c r="R71" s="29">
        <f>SUM('ANGKUTAN PENYEBRANGAN'!G71)</f>
        <v>0</v>
      </c>
      <c r="S71" s="29">
        <f>SUM('ANGKUTAN LAUT LUAR NEGERI'!I71,'ANGKUTAN LAUT DALAM NEGERI'!I71,PELRA!K71,PERINTIS!I71,'ANGKUTAN PENYEBRANGAN'!I71)</f>
        <v>0</v>
      </c>
      <c r="T71" s="31">
        <f>SUM('ANGKUTAN LAUT LUAR NEGERI'!J71,'ANGKUTAN LAUT DALAM NEGERI'!J71,PELRA!L71,PERINTIS!J71,'ANGKUTAN PENYEBRANGAN'!J71)</f>
        <v>0</v>
      </c>
      <c r="U71" s="32">
        <f>SUM('ANGKUTAN LAUT LUAR NEGERI'!K71,'ANGKUTAN LAUT DALAM NEGERI'!K71,PELRA!M71,PERINTIS!K71,'ANGKUTAN PENYEBRANGAN'!K71)</f>
        <v>0</v>
      </c>
    </row>
    <row r="72" spans="1:21">
      <c r="A72" s="33" t="s">
        <v>23</v>
      </c>
      <c r="B72" s="29">
        <f>SUM('ANGKUTAN LAUT LUAR NEGERI'!C72)</f>
        <v>0</v>
      </c>
      <c r="C72" s="29">
        <f>SUM('ANGKUTAN LAUT DALAM NEGERI'!C72)</f>
        <v>0</v>
      </c>
      <c r="D72" s="29">
        <f>SUM(PELRA!C72)</f>
        <v>0</v>
      </c>
      <c r="E72" s="29">
        <f>SUM(PERINTIS!C72)</f>
        <v>0</v>
      </c>
      <c r="F72" s="29">
        <f>SUM('ANGKUTAN PENYEBRANGAN'!C72)</f>
        <v>0</v>
      </c>
      <c r="G72" s="29">
        <f t="shared" si="9"/>
        <v>0</v>
      </c>
      <c r="H72" s="30">
        <f>SUM('ANGKUTAN LAUT LUAR NEGERI'!D72,'ANGKUTAN LAUT DALAM NEGERI'!D72,PELRA!D72,PERINTIS!D72,'ANGKUTAN PENYEBRANGAN'!D72)</f>
        <v>0</v>
      </c>
      <c r="I72" s="30">
        <f>SUM(PERINTIS!E72,PELRA!E72,'ANGKUTAN LAUT DALAM NEGERI'!E72,'ANGKUTAN LAUT LUAR NEGERI'!E72)</f>
        <v>0</v>
      </c>
      <c r="J72" s="30">
        <f>SUM(PERINTIS!F72,PELRA!F72,'ANGKUTAN LAUT DALAM NEGERI'!F72,'ANGKUTAN LAUT LUAR NEGERI'!F72)</f>
        <v>0</v>
      </c>
      <c r="K72" s="29">
        <f>SUM(PELRA!I72)</f>
        <v>0</v>
      </c>
      <c r="L72" s="29">
        <f>SUM(PERINTIS!L72,'ANGKUTAN PENYEBRANGAN'!F72)</f>
        <v>0</v>
      </c>
      <c r="M72" s="29">
        <f>SUM('ANGKUTAN PENYEBRANGAN'!E72)</f>
        <v>0</v>
      </c>
      <c r="N72" s="30">
        <f>SUM(PERINTIS!G72,PELRA!G72,'ANGKUTAN LAUT DALAM NEGERI'!G72,'ANGKUTAN LAUT LUAR NEGERI'!G72)</f>
        <v>0</v>
      </c>
      <c r="O72" s="29">
        <f>SUM(PERINTIS!H72,PELRA!H72,'ANGKUTAN LAUT DALAM NEGERI'!H72,'ANGKUTAN LAUT LUAR NEGERI'!H72)</f>
        <v>0</v>
      </c>
      <c r="P72" s="31">
        <f>SUM(PELRA!J72)</f>
        <v>0</v>
      </c>
      <c r="Q72" s="29">
        <f>SUM(PERINTIS!M72,'ANGKUTAN PENYEBRANGAN'!H72)</f>
        <v>0</v>
      </c>
      <c r="R72" s="29">
        <f>SUM('ANGKUTAN PENYEBRANGAN'!G72)</f>
        <v>0</v>
      </c>
      <c r="S72" s="29">
        <f>SUM('ANGKUTAN LAUT LUAR NEGERI'!I72,'ANGKUTAN LAUT DALAM NEGERI'!I72,PELRA!K72,PERINTIS!I72,'ANGKUTAN PENYEBRANGAN'!I72)</f>
        <v>0</v>
      </c>
      <c r="T72" s="31">
        <f>SUM('ANGKUTAN LAUT LUAR NEGERI'!J72,'ANGKUTAN LAUT DALAM NEGERI'!J72,PELRA!L72,PERINTIS!J72,'ANGKUTAN PENYEBRANGAN'!J72)</f>
        <v>0</v>
      </c>
      <c r="U72" s="32">
        <f>SUM('ANGKUTAN LAUT LUAR NEGERI'!K72,'ANGKUTAN LAUT DALAM NEGERI'!K72,PELRA!M72,PERINTIS!K72,'ANGKUTAN PENYEBRANGAN'!K72)</f>
        <v>0</v>
      </c>
    </row>
    <row r="73" spans="1:21">
      <c r="A73" s="33" t="s">
        <v>24</v>
      </c>
      <c r="B73" s="29">
        <f>SUM('ANGKUTAN LAUT LUAR NEGERI'!C73)</f>
        <v>0</v>
      </c>
      <c r="C73" s="29">
        <f>SUM('ANGKUTAN LAUT DALAM NEGERI'!C73)</f>
        <v>0</v>
      </c>
      <c r="D73" s="29">
        <f>SUM(PELRA!C73)</f>
        <v>0</v>
      </c>
      <c r="E73" s="29">
        <f>SUM(PERINTIS!C73)</f>
        <v>0</v>
      </c>
      <c r="F73" s="29">
        <f>SUM('ANGKUTAN PENYEBRANGAN'!C73)</f>
        <v>0</v>
      </c>
      <c r="G73" s="29">
        <f t="shared" si="9"/>
        <v>0</v>
      </c>
      <c r="H73" s="30">
        <f>SUM('ANGKUTAN LAUT LUAR NEGERI'!D73,'ANGKUTAN LAUT DALAM NEGERI'!D73,PELRA!D73,PERINTIS!D73,'ANGKUTAN PENYEBRANGAN'!D73)</f>
        <v>0</v>
      </c>
      <c r="I73" s="30">
        <f>SUM(PERINTIS!E73,PELRA!E73,'ANGKUTAN LAUT DALAM NEGERI'!E73,'ANGKUTAN LAUT LUAR NEGERI'!E73)</f>
        <v>0</v>
      </c>
      <c r="J73" s="30">
        <f>SUM(PERINTIS!F73,PELRA!F73,'ANGKUTAN LAUT DALAM NEGERI'!F73,'ANGKUTAN LAUT LUAR NEGERI'!F73)</f>
        <v>0</v>
      </c>
      <c r="K73" s="29">
        <f>SUM(PELRA!I73)</f>
        <v>0</v>
      </c>
      <c r="L73" s="29">
        <f>SUM(PERINTIS!L73,'ANGKUTAN PENYEBRANGAN'!F73)</f>
        <v>0</v>
      </c>
      <c r="M73" s="29">
        <f>SUM('ANGKUTAN PENYEBRANGAN'!E73)</f>
        <v>0</v>
      </c>
      <c r="N73" s="30">
        <f>SUM(PERINTIS!G73,PELRA!G73,'ANGKUTAN LAUT DALAM NEGERI'!G73,'ANGKUTAN LAUT LUAR NEGERI'!G73)</f>
        <v>0</v>
      </c>
      <c r="O73" s="29">
        <f>SUM(PERINTIS!H73,PELRA!H73,'ANGKUTAN LAUT DALAM NEGERI'!H73,'ANGKUTAN LAUT LUAR NEGERI'!H73)</f>
        <v>0</v>
      </c>
      <c r="P73" s="31">
        <f>SUM(PELRA!J73)</f>
        <v>0</v>
      </c>
      <c r="Q73" s="29">
        <f>SUM(PERINTIS!M73,'ANGKUTAN PENYEBRANGAN'!H73)</f>
        <v>0</v>
      </c>
      <c r="R73" s="29">
        <f>SUM('ANGKUTAN PENYEBRANGAN'!G73)</f>
        <v>0</v>
      </c>
      <c r="S73" s="29">
        <f>SUM('ANGKUTAN LAUT LUAR NEGERI'!I73,'ANGKUTAN LAUT DALAM NEGERI'!I73,PELRA!K73,PERINTIS!I73,'ANGKUTAN PENYEBRANGAN'!I73)</f>
        <v>0</v>
      </c>
      <c r="T73" s="31">
        <f>SUM('ANGKUTAN LAUT LUAR NEGERI'!J73,'ANGKUTAN LAUT DALAM NEGERI'!J73,PELRA!L73,PERINTIS!J73,'ANGKUTAN PENYEBRANGAN'!J73)</f>
        <v>0</v>
      </c>
      <c r="U73" s="32">
        <f>SUM('ANGKUTAN LAUT LUAR NEGERI'!K73,'ANGKUTAN LAUT DALAM NEGERI'!K73,PELRA!M73,PERINTIS!K73,'ANGKUTAN PENYEBRANGAN'!K73)</f>
        <v>0</v>
      </c>
    </row>
    <row r="74" ht="14.25" spans="1:21">
      <c r="A74" s="35" t="s">
        <v>25</v>
      </c>
      <c r="B74" s="36">
        <f>SUM('ANGKUTAN LAUT LUAR NEGERI'!C74)</f>
        <v>0</v>
      </c>
      <c r="C74" s="36">
        <f>SUM('ANGKUTAN LAUT DALAM NEGERI'!C74)</f>
        <v>0</v>
      </c>
      <c r="D74" s="36">
        <f>SUM(PELRA!C74)</f>
        <v>0</v>
      </c>
      <c r="E74" s="36">
        <f>SUM(PERINTIS!C74)</f>
        <v>0</v>
      </c>
      <c r="F74" s="36">
        <f>SUM('ANGKUTAN PENYEBRANGAN'!C74)</f>
        <v>0</v>
      </c>
      <c r="G74" s="36">
        <f t="shared" si="9"/>
        <v>0</v>
      </c>
      <c r="H74" s="37">
        <f>SUM('ANGKUTAN LAUT LUAR NEGERI'!D74,'ANGKUTAN LAUT DALAM NEGERI'!D74,PELRA!D74,PERINTIS!D74,'ANGKUTAN PENYEBRANGAN'!D74)</f>
        <v>0</v>
      </c>
      <c r="I74" s="37">
        <f>SUM(PERINTIS!E74,PELRA!E74,'ANGKUTAN LAUT DALAM NEGERI'!E74,'ANGKUTAN LAUT LUAR NEGERI'!E74)</f>
        <v>0</v>
      </c>
      <c r="J74" s="37">
        <f>SUM(PERINTIS!F74,PELRA!F74,'ANGKUTAN LAUT DALAM NEGERI'!F74,'ANGKUTAN LAUT LUAR NEGERI'!F74)</f>
        <v>0</v>
      </c>
      <c r="K74" s="36">
        <f>SUM(PELRA!I74)</f>
        <v>0</v>
      </c>
      <c r="L74" s="36">
        <f>SUM(PERINTIS!L74,'ANGKUTAN PENYEBRANGAN'!F74)</f>
        <v>0</v>
      </c>
      <c r="M74" s="36">
        <f>SUM('ANGKUTAN PENYEBRANGAN'!E74)</f>
        <v>0</v>
      </c>
      <c r="N74" s="37">
        <f>SUM(PERINTIS!G74,PELRA!G74,'ANGKUTAN LAUT DALAM NEGERI'!G74,'ANGKUTAN LAUT LUAR NEGERI'!G74)</f>
        <v>0</v>
      </c>
      <c r="O74" s="36">
        <f>SUM(PERINTIS!H74,PELRA!H74,'ANGKUTAN LAUT DALAM NEGERI'!H74,'ANGKUTAN LAUT LUAR NEGERI'!H74)</f>
        <v>0</v>
      </c>
      <c r="P74" s="38">
        <f>SUM(PELRA!J74)</f>
        <v>0</v>
      </c>
      <c r="Q74" s="36">
        <f>SUM(PERINTIS!M74,'ANGKUTAN PENYEBRANGAN'!H74)</f>
        <v>0</v>
      </c>
      <c r="R74" s="36">
        <f>SUM('ANGKUTAN PENYEBRANGAN'!G74)</f>
        <v>0</v>
      </c>
      <c r="S74" s="36">
        <f>SUM('ANGKUTAN LAUT LUAR NEGERI'!I74,'ANGKUTAN LAUT DALAM NEGERI'!I74,PELRA!K74,PERINTIS!I74,'ANGKUTAN PENYEBRANGAN'!I74)</f>
        <v>0</v>
      </c>
      <c r="T74" s="38">
        <f>SUM('ANGKUTAN LAUT LUAR NEGERI'!J74,'ANGKUTAN LAUT DALAM NEGERI'!J74,PELRA!L74,PERINTIS!J74,'ANGKUTAN PENYEBRANGAN'!J74)</f>
        <v>0</v>
      </c>
      <c r="U74" s="39">
        <f>SUM('ANGKUTAN LAUT LUAR NEGERI'!K74,'ANGKUTAN LAUT DALAM NEGERI'!K74,PELRA!M74,PERINTIS!K74,'ANGKUTAN PENYEBRANGAN'!K74)</f>
        <v>0</v>
      </c>
    </row>
    <row r="75" ht="15" spans="1:21">
      <c r="A75" s="40" t="s">
        <v>26</v>
      </c>
      <c r="B75" s="41">
        <f t="shared" ref="B75:U75" si="10">SUM(B63:B74)</f>
        <v>0</v>
      </c>
      <c r="C75" s="41">
        <f t="shared" si="10"/>
        <v>0</v>
      </c>
      <c r="D75" s="41">
        <f t="shared" si="10"/>
        <v>12</v>
      </c>
      <c r="E75" s="41">
        <f t="shared" si="10"/>
        <v>25</v>
      </c>
      <c r="F75" s="41">
        <f t="shared" si="10"/>
        <v>20</v>
      </c>
      <c r="G75" s="41">
        <f t="shared" si="10"/>
        <v>57</v>
      </c>
      <c r="H75" s="41">
        <f t="shared" si="10"/>
        <v>50203</v>
      </c>
      <c r="I75" s="41">
        <f t="shared" si="10"/>
        <v>315</v>
      </c>
      <c r="J75" s="41">
        <f t="shared" si="10"/>
        <v>0</v>
      </c>
      <c r="K75" s="41">
        <f t="shared" si="10"/>
        <v>0</v>
      </c>
      <c r="L75" s="41">
        <f t="shared" si="10"/>
        <v>28</v>
      </c>
      <c r="M75" s="41">
        <f t="shared" si="10"/>
        <v>6</v>
      </c>
      <c r="N75" s="41">
        <f t="shared" si="10"/>
        <v>12</v>
      </c>
      <c r="O75" s="41">
        <f t="shared" si="10"/>
        <v>0</v>
      </c>
      <c r="P75" s="41">
        <f t="shared" si="10"/>
        <v>80</v>
      </c>
      <c r="Q75" s="41">
        <f t="shared" si="10"/>
        <v>12</v>
      </c>
      <c r="R75" s="41">
        <f t="shared" si="10"/>
        <v>3</v>
      </c>
      <c r="S75" s="41">
        <f t="shared" si="10"/>
        <v>1312</v>
      </c>
      <c r="T75" s="42">
        <f t="shared" ref="T75" si="11">SUM(T63:T74)</f>
        <v>728</v>
      </c>
      <c r="U75" s="43">
        <f t="shared" si="10"/>
        <v>1417</v>
      </c>
    </row>
    <row r="76" ht="15"/>
    <row r="77" ht="15" spans="1:21">
      <c r="A77" s="3" t="s">
        <v>30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</row>
    <row r="78" ht="14.25" spans="1:21">
      <c r="A78" s="6" t="s">
        <v>5</v>
      </c>
      <c r="B78" s="7" t="s">
        <v>55</v>
      </c>
      <c r="C78" s="8"/>
      <c r="D78" s="8"/>
      <c r="E78" s="8"/>
      <c r="F78" s="9"/>
      <c r="G78" s="7" t="s">
        <v>56</v>
      </c>
      <c r="H78" s="9"/>
      <c r="I78" s="7" t="s">
        <v>39</v>
      </c>
      <c r="J78" s="8"/>
      <c r="K78" s="8"/>
      <c r="L78" s="8"/>
      <c r="M78" s="9"/>
      <c r="N78" s="7" t="s">
        <v>40</v>
      </c>
      <c r="O78" s="8"/>
      <c r="P78" s="8"/>
      <c r="Q78" s="8"/>
      <c r="R78" s="9"/>
      <c r="S78" s="7" t="s">
        <v>38</v>
      </c>
      <c r="T78" s="8"/>
      <c r="U78" s="10"/>
    </row>
    <row r="79" ht="16.5" customHeight="1" spans="1:21">
      <c r="A79" s="11"/>
      <c r="B79" s="12" t="s">
        <v>57</v>
      </c>
      <c r="C79" s="12" t="s">
        <v>58</v>
      </c>
      <c r="D79" s="13" t="s">
        <v>59</v>
      </c>
      <c r="E79" s="13" t="s">
        <v>47</v>
      </c>
      <c r="F79" s="13" t="s">
        <v>60</v>
      </c>
      <c r="G79" s="12" t="s">
        <v>61</v>
      </c>
      <c r="H79" s="13" t="s">
        <v>62</v>
      </c>
      <c r="I79" s="14" t="s">
        <v>63</v>
      </c>
      <c r="J79" s="15"/>
      <c r="K79" s="12" t="s">
        <v>64</v>
      </c>
      <c r="L79" s="14" t="s">
        <v>65</v>
      </c>
      <c r="M79" s="15"/>
      <c r="N79" s="14" t="s">
        <v>63</v>
      </c>
      <c r="O79" s="15"/>
      <c r="P79" s="12" t="s">
        <v>64</v>
      </c>
      <c r="Q79" s="14" t="s">
        <v>65</v>
      </c>
      <c r="R79" s="15"/>
      <c r="S79" s="16" t="s">
        <v>43</v>
      </c>
      <c r="T79" s="14" t="s">
        <v>44</v>
      </c>
      <c r="U79" s="17" t="s">
        <v>45</v>
      </c>
    </row>
    <row r="80" ht="14.25" spans="1:21">
      <c r="A80" s="18"/>
      <c r="B80" s="19"/>
      <c r="C80" s="19"/>
      <c r="D80" s="20"/>
      <c r="E80" s="20"/>
      <c r="F80" s="20"/>
      <c r="G80" s="19"/>
      <c r="H80" s="20"/>
      <c r="I80" s="20" t="s">
        <v>41</v>
      </c>
      <c r="J80" s="20" t="s">
        <v>42</v>
      </c>
      <c r="K80" s="19"/>
      <c r="L80" s="20" t="s">
        <v>48</v>
      </c>
      <c r="M80" s="20" t="s">
        <v>51</v>
      </c>
      <c r="N80" s="20" t="s">
        <v>41</v>
      </c>
      <c r="O80" s="20" t="s">
        <v>42</v>
      </c>
      <c r="P80" s="19"/>
      <c r="Q80" s="20" t="s">
        <v>48</v>
      </c>
      <c r="R80" s="20" t="s">
        <v>51</v>
      </c>
      <c r="S80" s="20" t="s">
        <v>66</v>
      </c>
      <c r="T80" s="21" t="s">
        <v>67</v>
      </c>
      <c r="U80" s="22" t="s">
        <v>67</v>
      </c>
    </row>
    <row r="81" ht="14.25" spans="1:21">
      <c r="A81" s="23" t="s">
        <v>14</v>
      </c>
      <c r="B81" s="24">
        <f>SUM('ANGKUTAN LAUT LUAR NEGERI'!C81)</f>
        <v>0</v>
      </c>
      <c r="C81" s="24">
        <f>SUM('ANGKUTAN LAUT DALAM NEGERI'!C81)</f>
        <v>0</v>
      </c>
      <c r="D81" s="24">
        <f>SUM(PELRA!C81)</f>
        <v>2</v>
      </c>
      <c r="E81" s="24">
        <f>SUM(PERINTIS!C81)</f>
        <v>4</v>
      </c>
      <c r="F81" s="24">
        <f>SUM('ANGKUTAN PENYEBRANGAN'!C81)</f>
        <v>4</v>
      </c>
      <c r="G81" s="24">
        <f>SUM(B81:F81)</f>
        <v>10</v>
      </c>
      <c r="H81" s="25">
        <f>SUM('ANGKUTAN LAUT LUAR NEGERI'!D81,'ANGKUTAN LAUT DALAM NEGERI'!D81,PELRA!D81,PERINTIS!D81,'ANGKUTAN PENYEBRANGAN'!D81)</f>
        <v>12046</v>
      </c>
      <c r="I81" s="25">
        <f>SUM(PERINTIS!E81,PELRA!E81,'ANGKUTAN LAUT DALAM NEGERI'!E81,'ANGKUTAN LAUT LUAR NEGERI'!E81)</f>
        <v>54</v>
      </c>
      <c r="J81" s="25">
        <f>SUM(PERINTIS!F81,PELRA!F81,'ANGKUTAN LAUT DALAM NEGERI'!F81,'ANGKUTAN LAUT LUAR NEGERI'!F81)</f>
        <v>0</v>
      </c>
      <c r="K81" s="24">
        <f>SUM(PELRA!I81)</f>
        <v>0</v>
      </c>
      <c r="L81" s="24">
        <f>SUM(PERINTIS!L81,'ANGKUTAN PENYEBRANGAN'!F81)</f>
        <v>15</v>
      </c>
      <c r="M81" s="24">
        <f>SUM('ANGKUTAN PENYEBRANGAN'!E81)</f>
        <v>1</v>
      </c>
      <c r="N81" s="25">
        <f>SUM(PERINTIS!G81,PELRA!G81,'ANGKUTAN LAUT DALAM NEGERI'!G81,'ANGKUTAN LAUT LUAR NEGERI'!G81)</f>
        <v>375</v>
      </c>
      <c r="O81" s="24">
        <f>SUM(PERINTIS!H81,PELRA!H81,'ANGKUTAN LAUT DALAM NEGERI'!H81,'ANGKUTAN LAUT LUAR NEGERI'!H81)</f>
        <v>0</v>
      </c>
      <c r="P81" s="26">
        <f>SUM(PELRA!J81)</f>
        <v>0</v>
      </c>
      <c r="Q81" s="24">
        <f>SUM(PERINTIS!M81,'ANGKUTAN PENYEBRANGAN'!H81)</f>
        <v>9</v>
      </c>
      <c r="R81" s="24">
        <f>SUM('ANGKUTAN PENYEBRANGAN'!G81)</f>
        <v>1</v>
      </c>
      <c r="S81" s="24">
        <f>SUM('ANGKUTAN LAUT LUAR NEGERI'!I81,'ANGKUTAN LAUT DALAM NEGERI'!I81,PELRA!K81,PERINTIS!I81,'ANGKUTAN PENYEBRANGAN'!I81)</f>
        <v>571</v>
      </c>
      <c r="T81" s="26">
        <f>SUM('ANGKUTAN LAUT LUAR NEGERI'!J81,'ANGKUTAN LAUT DALAM NEGERI'!J81,PELRA!L81,PERINTIS!J81,'ANGKUTAN PENYEBRANGAN'!J81)</f>
        <v>368</v>
      </c>
      <c r="U81" s="27">
        <f>SUM('ANGKUTAN LAUT LUAR NEGERI'!K81,'ANGKUTAN LAUT DALAM NEGERI'!K81,PELRA!M81,PERINTIS!K81,'ANGKUTAN PENYEBRANGAN'!K81)</f>
        <v>52</v>
      </c>
    </row>
    <row r="82" spans="1:21">
      <c r="A82" s="28" t="s">
        <v>15</v>
      </c>
      <c r="B82" s="47">
        <f>SUM('ANGKUTAN LAUT LUAR NEGERI'!C82)</f>
        <v>0</v>
      </c>
      <c r="C82" s="47">
        <f>SUM('ANGKUTAN LAUT DALAM NEGERI'!C82)</f>
        <v>0</v>
      </c>
      <c r="D82" s="47">
        <f>SUM(PELRA!C82)</f>
        <v>1</v>
      </c>
      <c r="E82" s="47">
        <f>SUM(PERINTIS!C82)</f>
        <v>5</v>
      </c>
      <c r="F82" s="47">
        <f>SUM('ANGKUTAN PENYEBRANGAN'!C82)</f>
        <v>6</v>
      </c>
      <c r="G82" s="47">
        <f t="shared" ref="G82:G92" si="12">SUM(B82:F82)</f>
        <v>12</v>
      </c>
      <c r="H82" s="48">
        <f>SUM('ANGKUTAN LAUT LUAR NEGERI'!D82,'ANGKUTAN LAUT DALAM NEGERI'!D82,PELRA!D82,PERINTIS!D82,'ANGKUTAN PENYEBRANGAN'!D82)</f>
        <v>15582</v>
      </c>
      <c r="I82" s="30">
        <f>SUM(PERINTIS!E82,PELRA!E82,'ANGKUTAN LAUT DALAM NEGERI'!E82,'ANGKUTAN LAUT LUAR NEGERI'!E82)</f>
        <v>4</v>
      </c>
      <c r="J82" s="30">
        <f>SUM(PERINTIS!F82,PELRA!F82,'ANGKUTAN LAUT DALAM NEGERI'!F82,'ANGKUTAN LAUT LUAR NEGERI'!F82)</f>
        <v>0</v>
      </c>
      <c r="K82" s="47">
        <f>SUM(PELRA!I82)</f>
        <v>0</v>
      </c>
      <c r="L82" s="47">
        <f>SUM(PERINTIS!L82,'ANGKUTAN PENYEBRANGAN'!F82)</f>
        <v>12</v>
      </c>
      <c r="M82" s="47">
        <f>SUM('ANGKUTAN PENYEBRANGAN'!E82)</f>
        <v>1</v>
      </c>
      <c r="N82" s="30">
        <f>SUM(PERINTIS!G82,PELRA!G82,'ANGKUTAN LAUT DALAM NEGERI'!G82,'ANGKUTAN LAUT LUAR NEGERI'!G82)</f>
        <v>144</v>
      </c>
      <c r="O82" s="29">
        <f>SUM(PERINTIS!H82,PELRA!H82,'ANGKUTAN LAUT DALAM NEGERI'!H82,'ANGKUTAN LAUT LUAR NEGERI'!H82)</f>
        <v>0</v>
      </c>
      <c r="P82" s="49">
        <f>SUM(PELRA!J82)</f>
        <v>0</v>
      </c>
      <c r="Q82" s="47">
        <f>SUM(PERINTIS!M82,'ANGKUTAN PENYEBRANGAN'!H82)</f>
        <v>14</v>
      </c>
      <c r="R82" s="47">
        <f>SUM('ANGKUTAN PENYEBRANGAN'!G82)</f>
        <v>1</v>
      </c>
      <c r="S82" s="47">
        <f>SUM('ANGKUTAN LAUT LUAR NEGERI'!I82,'ANGKUTAN LAUT DALAM NEGERI'!I82,PELRA!K82,PERINTIS!I82,'ANGKUTAN PENYEBRANGAN'!I82)</f>
        <v>477</v>
      </c>
      <c r="T82" s="49">
        <f>SUM('ANGKUTAN LAUT LUAR NEGERI'!J82,'ANGKUTAN LAUT DALAM NEGERI'!J82,PELRA!L82,PERINTIS!J82,'ANGKUTAN PENYEBRANGAN'!J82)</f>
        <v>378</v>
      </c>
      <c r="U82" s="50">
        <f>SUM('ANGKUTAN LAUT LUAR NEGERI'!K82,'ANGKUTAN LAUT DALAM NEGERI'!K82,PELRA!M82,PERINTIS!K82,'ANGKUTAN PENYEBRANGAN'!K82)</f>
        <v>79</v>
      </c>
    </row>
    <row r="83" spans="1:21">
      <c r="A83" s="33" t="s">
        <v>16</v>
      </c>
      <c r="B83" s="29">
        <f>SUM('ANGKUTAN LAUT LUAR NEGERI'!C83)</f>
        <v>0</v>
      </c>
      <c r="C83" s="29">
        <f>SUM('ANGKUTAN LAUT DALAM NEGERI'!C83)</f>
        <v>0</v>
      </c>
      <c r="D83" s="29">
        <f>SUM(PELRA!C83)</f>
        <v>0</v>
      </c>
      <c r="E83" s="29">
        <f>SUM(PERINTIS!C83)</f>
        <v>0</v>
      </c>
      <c r="F83" s="29">
        <f>SUM('ANGKUTAN PENYEBRANGAN'!C83)</f>
        <v>0</v>
      </c>
      <c r="G83" s="29">
        <f t="shared" si="12"/>
        <v>0</v>
      </c>
      <c r="H83" s="30">
        <f>SUM('ANGKUTAN LAUT LUAR NEGERI'!D83,'ANGKUTAN LAUT DALAM NEGERI'!D83,PELRA!D83,PERINTIS!D83,'ANGKUTAN PENYEBRANGAN'!D83)</f>
        <v>0</v>
      </c>
      <c r="I83" s="30">
        <f>SUM(PERINTIS!E83,PELRA!E83,'ANGKUTAN LAUT DALAM NEGERI'!E83,'ANGKUTAN LAUT LUAR NEGERI'!E83)</f>
        <v>0</v>
      </c>
      <c r="J83" s="30">
        <f>SUM(PERINTIS!F83,PELRA!F83,'ANGKUTAN LAUT DALAM NEGERI'!F83,'ANGKUTAN LAUT LUAR NEGERI'!F83)</f>
        <v>0</v>
      </c>
      <c r="K83" s="29">
        <f>SUM(PELRA!I83)</f>
        <v>0</v>
      </c>
      <c r="L83" s="29">
        <f>SUM(PERINTIS!L83,'ANGKUTAN PENYEBRANGAN'!F83)</f>
        <v>0</v>
      </c>
      <c r="M83" s="29">
        <f>SUM('ANGKUTAN PENYEBRANGAN'!E83)</f>
        <v>0</v>
      </c>
      <c r="N83" s="30">
        <f>SUM(PERINTIS!G83,PELRA!G83,'ANGKUTAN LAUT DALAM NEGERI'!G83,'ANGKUTAN LAUT LUAR NEGERI'!G83)</f>
        <v>0</v>
      </c>
      <c r="O83" s="29">
        <f>SUM(PERINTIS!H83,PELRA!H83,'ANGKUTAN LAUT DALAM NEGERI'!H83,'ANGKUTAN LAUT LUAR NEGERI'!H83)</f>
        <v>0</v>
      </c>
      <c r="P83" s="31">
        <f>SUM(PELRA!J83)</f>
        <v>0</v>
      </c>
      <c r="Q83" s="29">
        <f>SUM(PERINTIS!M83,'ANGKUTAN PENYEBRANGAN'!H83)</f>
        <v>0</v>
      </c>
      <c r="R83" s="29">
        <f>SUM('ANGKUTAN PENYEBRANGAN'!G83)</f>
        <v>0</v>
      </c>
      <c r="S83" s="29">
        <f>SUM('ANGKUTAN LAUT LUAR NEGERI'!I83,'ANGKUTAN LAUT DALAM NEGERI'!I83,PELRA!K83,PERINTIS!I83,'ANGKUTAN PENYEBRANGAN'!I83)</f>
        <v>0</v>
      </c>
      <c r="T83" s="31">
        <f>SUM('ANGKUTAN LAUT LUAR NEGERI'!J83,'ANGKUTAN LAUT DALAM NEGERI'!J83,PELRA!L83,PERINTIS!J83,'ANGKUTAN PENYEBRANGAN'!J83)</f>
        <v>0</v>
      </c>
      <c r="U83" s="32">
        <f>SUM('ANGKUTAN LAUT LUAR NEGERI'!K83,'ANGKUTAN LAUT DALAM NEGERI'!K83,PELRA!M83,PERINTIS!K83,'ANGKUTAN PENYEBRANGAN'!K83)</f>
        <v>0</v>
      </c>
    </row>
    <row r="84" spans="1:21">
      <c r="A84" s="28" t="s">
        <v>17</v>
      </c>
      <c r="B84" s="29">
        <f>SUM('ANGKUTAN LAUT LUAR NEGERI'!C84)</f>
        <v>0</v>
      </c>
      <c r="C84" s="29">
        <f>SUM('ANGKUTAN LAUT DALAM NEGERI'!C84)</f>
        <v>0</v>
      </c>
      <c r="D84" s="29">
        <f>SUM(PELRA!C84)</f>
        <v>0</v>
      </c>
      <c r="E84" s="29">
        <f>SUM(PERINTIS!C84)</f>
        <v>0</v>
      </c>
      <c r="F84" s="29">
        <f>SUM('ANGKUTAN PENYEBRANGAN'!C84)</f>
        <v>0</v>
      </c>
      <c r="G84" s="29">
        <f t="shared" si="12"/>
        <v>0</v>
      </c>
      <c r="H84" s="30">
        <f>SUM('ANGKUTAN LAUT LUAR NEGERI'!D84,'ANGKUTAN LAUT DALAM NEGERI'!D84,PELRA!D84,PERINTIS!D84,'ANGKUTAN PENYEBRANGAN'!D84)</f>
        <v>0</v>
      </c>
      <c r="I84" s="30">
        <f>SUM(PERINTIS!E84,PELRA!E84,'ANGKUTAN LAUT DALAM NEGERI'!E84,'ANGKUTAN LAUT LUAR NEGERI'!E84)</f>
        <v>0</v>
      </c>
      <c r="J84" s="30">
        <f>SUM(PERINTIS!F84,PELRA!F84,'ANGKUTAN LAUT DALAM NEGERI'!F84,'ANGKUTAN LAUT LUAR NEGERI'!F84)</f>
        <v>0</v>
      </c>
      <c r="K84" s="29">
        <f>SUM(PELRA!I84)</f>
        <v>0</v>
      </c>
      <c r="L84" s="29">
        <f>SUM(PERINTIS!L84,'ANGKUTAN PENYEBRANGAN'!F84)</f>
        <v>0</v>
      </c>
      <c r="M84" s="29">
        <f>SUM('ANGKUTAN PENYEBRANGAN'!E84)</f>
        <v>0</v>
      </c>
      <c r="N84" s="30">
        <f>SUM(PERINTIS!G84,PELRA!G84,'ANGKUTAN LAUT DALAM NEGERI'!G84,'ANGKUTAN LAUT LUAR NEGERI'!G84)</f>
        <v>0</v>
      </c>
      <c r="O84" s="29">
        <f>SUM(PERINTIS!H84,PELRA!H84,'ANGKUTAN LAUT DALAM NEGERI'!H84,'ANGKUTAN LAUT LUAR NEGERI'!H84)</f>
        <v>0</v>
      </c>
      <c r="P84" s="31">
        <f>SUM(PELRA!J84)</f>
        <v>0</v>
      </c>
      <c r="Q84" s="29">
        <f>SUM(PERINTIS!M84,'ANGKUTAN PENYEBRANGAN'!H84)</f>
        <v>0</v>
      </c>
      <c r="R84" s="29">
        <f>SUM('ANGKUTAN PENYEBRANGAN'!G84)</f>
        <v>0</v>
      </c>
      <c r="S84" s="29">
        <f>SUM('ANGKUTAN LAUT LUAR NEGERI'!I84,'ANGKUTAN LAUT DALAM NEGERI'!I84,PELRA!K84,PERINTIS!I84,'ANGKUTAN PENYEBRANGAN'!I84)</f>
        <v>0</v>
      </c>
      <c r="T84" s="31">
        <f>SUM('ANGKUTAN LAUT LUAR NEGERI'!J84,'ANGKUTAN LAUT DALAM NEGERI'!J84,PELRA!L84,PERINTIS!J84,'ANGKUTAN PENYEBRANGAN'!J84)</f>
        <v>0</v>
      </c>
      <c r="U84" s="32">
        <f>SUM('ANGKUTAN LAUT LUAR NEGERI'!K84,'ANGKUTAN LAUT DALAM NEGERI'!K84,PELRA!M84,PERINTIS!K84,'ANGKUTAN PENYEBRANGAN'!K84)</f>
        <v>0</v>
      </c>
    </row>
    <row r="85" spans="1:21">
      <c r="A85" s="28" t="s">
        <v>18</v>
      </c>
      <c r="B85" s="29">
        <f>SUM('ANGKUTAN LAUT LUAR NEGERI'!C85)</f>
        <v>0</v>
      </c>
      <c r="C85" s="29">
        <f>SUM('ANGKUTAN LAUT DALAM NEGERI'!C85)</f>
        <v>0</v>
      </c>
      <c r="D85" s="29">
        <f>SUM(PELRA!C85)</f>
        <v>0</v>
      </c>
      <c r="E85" s="29">
        <f>SUM(PERINTIS!C85)</f>
        <v>0</v>
      </c>
      <c r="F85" s="29">
        <f>SUM('ANGKUTAN PENYEBRANGAN'!C85)</f>
        <v>0</v>
      </c>
      <c r="G85" s="29">
        <f t="shared" si="12"/>
        <v>0</v>
      </c>
      <c r="H85" s="30">
        <f>SUM('ANGKUTAN LAUT LUAR NEGERI'!D85,'ANGKUTAN LAUT DALAM NEGERI'!D85,PELRA!D85,PERINTIS!D85,'ANGKUTAN PENYEBRANGAN'!D85)</f>
        <v>0</v>
      </c>
      <c r="I85" s="30">
        <f>SUM(PERINTIS!E85,PELRA!E85,'ANGKUTAN LAUT DALAM NEGERI'!E85,'ANGKUTAN LAUT LUAR NEGERI'!E85)</f>
        <v>0</v>
      </c>
      <c r="J85" s="30">
        <f>SUM(PERINTIS!F85,PELRA!F85,'ANGKUTAN LAUT DALAM NEGERI'!F85,'ANGKUTAN LAUT LUAR NEGERI'!F85)</f>
        <v>0</v>
      </c>
      <c r="K85" s="29">
        <f>SUM(PELRA!I85)</f>
        <v>0</v>
      </c>
      <c r="L85" s="29">
        <f>SUM(PERINTIS!L85,'ANGKUTAN PENYEBRANGAN'!F85)</f>
        <v>0</v>
      </c>
      <c r="M85" s="29">
        <f>SUM('ANGKUTAN PENYEBRANGAN'!E85)</f>
        <v>0</v>
      </c>
      <c r="N85" s="30">
        <f>SUM(PERINTIS!G85,PELRA!G85,'ANGKUTAN LAUT DALAM NEGERI'!G85,'ANGKUTAN LAUT LUAR NEGERI'!G85)</f>
        <v>0</v>
      </c>
      <c r="O85" s="29">
        <f>SUM(PERINTIS!H85,PELRA!H85,'ANGKUTAN LAUT DALAM NEGERI'!H85,'ANGKUTAN LAUT LUAR NEGERI'!H85)</f>
        <v>0</v>
      </c>
      <c r="P85" s="31">
        <f>SUM(PELRA!J85)</f>
        <v>0</v>
      </c>
      <c r="Q85" s="29">
        <f>SUM(PERINTIS!M85,'ANGKUTAN PENYEBRANGAN'!H85)</f>
        <v>0</v>
      </c>
      <c r="R85" s="29">
        <f>SUM('ANGKUTAN PENYEBRANGAN'!G85)</f>
        <v>0</v>
      </c>
      <c r="S85" s="29">
        <f>SUM('ANGKUTAN LAUT LUAR NEGERI'!I85,'ANGKUTAN LAUT DALAM NEGERI'!I85,PELRA!K85,PERINTIS!I85,'ANGKUTAN PENYEBRANGAN'!I85)</f>
        <v>0</v>
      </c>
      <c r="T85" s="31">
        <f>SUM('ANGKUTAN LAUT LUAR NEGERI'!J85,'ANGKUTAN LAUT DALAM NEGERI'!J85,PELRA!L85,PERINTIS!J85,'ANGKUTAN PENYEBRANGAN'!J85)</f>
        <v>0</v>
      </c>
      <c r="U85" s="32">
        <f>SUM('ANGKUTAN LAUT LUAR NEGERI'!K85,'ANGKUTAN LAUT DALAM NEGERI'!K85,PELRA!M85,PERINTIS!K85,'ANGKUTAN PENYEBRANGAN'!K85)</f>
        <v>0</v>
      </c>
    </row>
    <row r="86" spans="1:21">
      <c r="A86" s="34" t="s">
        <v>19</v>
      </c>
      <c r="B86" s="29">
        <f>SUM('ANGKUTAN LAUT LUAR NEGERI'!C86)</f>
        <v>0</v>
      </c>
      <c r="C86" s="29">
        <f>SUM('ANGKUTAN LAUT DALAM NEGERI'!C86)</f>
        <v>0</v>
      </c>
      <c r="D86" s="29">
        <f>SUM(PELRA!C86)</f>
        <v>0</v>
      </c>
      <c r="E86" s="29">
        <f>SUM(PERINTIS!C86)</f>
        <v>0</v>
      </c>
      <c r="F86" s="29">
        <f>SUM('ANGKUTAN PENYEBRANGAN'!C86)</f>
        <v>0</v>
      </c>
      <c r="G86" s="29">
        <f t="shared" si="12"/>
        <v>0</v>
      </c>
      <c r="H86" s="30">
        <f>SUM('ANGKUTAN LAUT LUAR NEGERI'!D86,'ANGKUTAN LAUT DALAM NEGERI'!D86,PELRA!D86,PERINTIS!D86,'ANGKUTAN PENYEBRANGAN'!D86)</f>
        <v>0</v>
      </c>
      <c r="I86" s="30">
        <f>SUM(PERINTIS!E86,PELRA!E86,'ANGKUTAN LAUT DALAM NEGERI'!E86,'ANGKUTAN LAUT LUAR NEGERI'!E86)</f>
        <v>0</v>
      </c>
      <c r="J86" s="30">
        <f>SUM(PERINTIS!F86,PELRA!F86,'ANGKUTAN LAUT DALAM NEGERI'!F86,'ANGKUTAN LAUT LUAR NEGERI'!F86)</f>
        <v>0</v>
      </c>
      <c r="K86" s="29">
        <f>SUM(PELRA!I86)</f>
        <v>0</v>
      </c>
      <c r="L86" s="29">
        <f>SUM(PERINTIS!L86,'ANGKUTAN PENYEBRANGAN'!F86)</f>
        <v>0</v>
      </c>
      <c r="M86" s="29">
        <f>SUM('ANGKUTAN PENYEBRANGAN'!E86)</f>
        <v>0</v>
      </c>
      <c r="N86" s="30">
        <f>SUM(PERINTIS!G86,PELRA!G86,'ANGKUTAN LAUT DALAM NEGERI'!G86,'ANGKUTAN LAUT LUAR NEGERI'!G86)</f>
        <v>0</v>
      </c>
      <c r="O86" s="29">
        <f>SUM(PERINTIS!H86,PELRA!H86,'ANGKUTAN LAUT DALAM NEGERI'!H86,'ANGKUTAN LAUT LUAR NEGERI'!H86)</f>
        <v>0</v>
      </c>
      <c r="P86" s="31">
        <f>SUM(PELRA!J86)</f>
        <v>0</v>
      </c>
      <c r="Q86" s="29">
        <f>SUM(PERINTIS!M86,'ANGKUTAN PENYEBRANGAN'!H86)</f>
        <v>0</v>
      </c>
      <c r="R86" s="29">
        <f>SUM('ANGKUTAN PENYEBRANGAN'!G86)</f>
        <v>0</v>
      </c>
      <c r="S86" s="29">
        <f>SUM('ANGKUTAN LAUT LUAR NEGERI'!I86,'ANGKUTAN LAUT DALAM NEGERI'!I86,PELRA!K86,PERINTIS!I86,'ANGKUTAN PENYEBRANGAN'!I86)</f>
        <v>0</v>
      </c>
      <c r="T86" s="31">
        <f>SUM('ANGKUTAN LAUT LUAR NEGERI'!J86,'ANGKUTAN LAUT DALAM NEGERI'!J86,PELRA!L86,PERINTIS!J86,'ANGKUTAN PENYEBRANGAN'!J86)</f>
        <v>0</v>
      </c>
      <c r="U86" s="32">
        <f>SUM('ANGKUTAN LAUT LUAR NEGERI'!K86,'ANGKUTAN LAUT DALAM NEGERI'!K86,PELRA!M86,PERINTIS!K86,'ANGKUTAN PENYEBRANGAN'!K86)</f>
        <v>0</v>
      </c>
    </row>
    <row r="87" spans="1:21">
      <c r="A87" s="28" t="s">
        <v>20</v>
      </c>
      <c r="B87" s="29">
        <f>SUM('ANGKUTAN LAUT LUAR NEGERI'!C87)</f>
        <v>0</v>
      </c>
      <c r="C87" s="29">
        <f>SUM('ANGKUTAN LAUT DALAM NEGERI'!C87)</f>
        <v>0</v>
      </c>
      <c r="D87" s="29">
        <f>SUM(PELRA!C87)</f>
        <v>0</v>
      </c>
      <c r="E87" s="29">
        <f>SUM(PERINTIS!C87)</f>
        <v>0</v>
      </c>
      <c r="F87" s="29">
        <f>SUM('ANGKUTAN PENYEBRANGAN'!C87)</f>
        <v>0</v>
      </c>
      <c r="G87" s="29">
        <f t="shared" si="12"/>
        <v>0</v>
      </c>
      <c r="H87" s="30">
        <f>SUM('ANGKUTAN LAUT LUAR NEGERI'!D87,'ANGKUTAN LAUT DALAM NEGERI'!D87,PELRA!D87,PERINTIS!D87,'ANGKUTAN PENYEBRANGAN'!D87)</f>
        <v>0</v>
      </c>
      <c r="I87" s="30">
        <f>SUM(PERINTIS!E87,PELRA!E87,'ANGKUTAN LAUT DALAM NEGERI'!E87,'ANGKUTAN LAUT LUAR NEGERI'!E87)</f>
        <v>0</v>
      </c>
      <c r="J87" s="30">
        <f>SUM(PERINTIS!F87,PELRA!F87,'ANGKUTAN LAUT DALAM NEGERI'!F87,'ANGKUTAN LAUT LUAR NEGERI'!F87)</f>
        <v>0</v>
      </c>
      <c r="K87" s="29">
        <f>SUM(PELRA!I87)</f>
        <v>0</v>
      </c>
      <c r="L87" s="29">
        <f>SUM(PERINTIS!L87,'ANGKUTAN PENYEBRANGAN'!F87)</f>
        <v>0</v>
      </c>
      <c r="M87" s="29">
        <f>SUM('ANGKUTAN PENYEBRANGAN'!E87)</f>
        <v>0</v>
      </c>
      <c r="N87" s="30">
        <f>SUM(PERINTIS!G87,PELRA!G87,'ANGKUTAN LAUT DALAM NEGERI'!G87,'ANGKUTAN LAUT LUAR NEGERI'!G87)</f>
        <v>0</v>
      </c>
      <c r="O87" s="29">
        <f>SUM(PERINTIS!H87,PELRA!H87,'ANGKUTAN LAUT DALAM NEGERI'!H87,'ANGKUTAN LAUT LUAR NEGERI'!H87)</f>
        <v>0</v>
      </c>
      <c r="P87" s="31">
        <f>SUM(PELRA!J87)</f>
        <v>0</v>
      </c>
      <c r="Q87" s="29">
        <f>SUM(PERINTIS!M87,'ANGKUTAN PENYEBRANGAN'!H87)</f>
        <v>0</v>
      </c>
      <c r="R87" s="29">
        <f>SUM('ANGKUTAN PENYEBRANGAN'!G87)</f>
        <v>0</v>
      </c>
      <c r="S87" s="29">
        <f>SUM('ANGKUTAN LAUT LUAR NEGERI'!I87,'ANGKUTAN LAUT DALAM NEGERI'!I87,PELRA!K87,PERINTIS!I87,'ANGKUTAN PENYEBRANGAN'!I87)</f>
        <v>0</v>
      </c>
      <c r="T87" s="31">
        <f>SUM('ANGKUTAN LAUT LUAR NEGERI'!J87,'ANGKUTAN LAUT DALAM NEGERI'!J87,PELRA!L87,PERINTIS!J87,'ANGKUTAN PENYEBRANGAN'!J87)</f>
        <v>0</v>
      </c>
      <c r="U87" s="32">
        <f>SUM('ANGKUTAN LAUT LUAR NEGERI'!K87,'ANGKUTAN LAUT DALAM NEGERI'!K87,PELRA!M87,PERINTIS!K87,'ANGKUTAN PENYEBRANGAN'!K87)</f>
        <v>0</v>
      </c>
    </row>
    <row r="88" spans="1:21">
      <c r="A88" s="33" t="s">
        <v>21</v>
      </c>
      <c r="B88" s="29">
        <f>SUM('ANGKUTAN LAUT LUAR NEGERI'!C88)</f>
        <v>0</v>
      </c>
      <c r="C88" s="29">
        <f>SUM('ANGKUTAN LAUT DALAM NEGERI'!C88)</f>
        <v>0</v>
      </c>
      <c r="D88" s="29">
        <f>SUM(PELRA!C88)</f>
        <v>0</v>
      </c>
      <c r="E88" s="29">
        <f>SUM(PERINTIS!C88)</f>
        <v>0</v>
      </c>
      <c r="F88" s="29">
        <f>SUM('ANGKUTAN PENYEBRANGAN'!C88)</f>
        <v>0</v>
      </c>
      <c r="G88" s="29">
        <f t="shared" si="12"/>
        <v>0</v>
      </c>
      <c r="H88" s="30">
        <f>SUM('ANGKUTAN LAUT LUAR NEGERI'!D88,'ANGKUTAN LAUT DALAM NEGERI'!D88,PELRA!D88,PERINTIS!D88,'ANGKUTAN PENYEBRANGAN'!D88)</f>
        <v>0</v>
      </c>
      <c r="I88" s="30">
        <f>SUM(PERINTIS!E88,PELRA!E88,'ANGKUTAN LAUT DALAM NEGERI'!E88,'ANGKUTAN LAUT LUAR NEGERI'!E88)</f>
        <v>0</v>
      </c>
      <c r="J88" s="30">
        <f>SUM(PERINTIS!F88,PELRA!F88,'ANGKUTAN LAUT DALAM NEGERI'!F88,'ANGKUTAN LAUT LUAR NEGERI'!F88)</f>
        <v>0</v>
      </c>
      <c r="K88" s="29">
        <f>SUM(PELRA!I88)</f>
        <v>0</v>
      </c>
      <c r="L88" s="29">
        <f>SUM(PERINTIS!L88,'ANGKUTAN PENYEBRANGAN'!F88)</f>
        <v>0</v>
      </c>
      <c r="M88" s="29">
        <f>SUM('ANGKUTAN PENYEBRANGAN'!E88)</f>
        <v>0</v>
      </c>
      <c r="N88" s="30">
        <f>SUM(PERINTIS!G88,PELRA!G88,'ANGKUTAN LAUT DALAM NEGERI'!G88,'ANGKUTAN LAUT LUAR NEGERI'!G88)</f>
        <v>0</v>
      </c>
      <c r="O88" s="29">
        <f>SUM(PERINTIS!H88,PELRA!H88,'ANGKUTAN LAUT DALAM NEGERI'!H88,'ANGKUTAN LAUT LUAR NEGERI'!H88)</f>
        <v>0</v>
      </c>
      <c r="P88" s="31">
        <f>SUM(PELRA!J88)</f>
        <v>0</v>
      </c>
      <c r="Q88" s="29">
        <f>SUM(PERINTIS!M88,'ANGKUTAN PENYEBRANGAN'!H88)</f>
        <v>0</v>
      </c>
      <c r="R88" s="29">
        <f>SUM('ANGKUTAN PENYEBRANGAN'!G88)</f>
        <v>0</v>
      </c>
      <c r="S88" s="29">
        <f>SUM('ANGKUTAN LAUT LUAR NEGERI'!I88,'ANGKUTAN LAUT DALAM NEGERI'!I88,PELRA!K88,PERINTIS!I88,'ANGKUTAN PENYEBRANGAN'!I88)</f>
        <v>0</v>
      </c>
      <c r="T88" s="31">
        <f>SUM('ANGKUTAN LAUT LUAR NEGERI'!J88,'ANGKUTAN LAUT DALAM NEGERI'!J88,PELRA!L88,PERINTIS!J88,'ANGKUTAN PENYEBRANGAN'!J88)</f>
        <v>0</v>
      </c>
      <c r="U88" s="32">
        <f>SUM('ANGKUTAN LAUT LUAR NEGERI'!K88,'ANGKUTAN LAUT DALAM NEGERI'!K88,PELRA!M88,PERINTIS!K88,'ANGKUTAN PENYEBRANGAN'!K88)</f>
        <v>0</v>
      </c>
    </row>
    <row r="89" spans="1:21">
      <c r="A89" s="33" t="s">
        <v>22</v>
      </c>
      <c r="B89" s="29">
        <f>SUM('ANGKUTAN LAUT LUAR NEGERI'!C89)</f>
        <v>0</v>
      </c>
      <c r="C89" s="29">
        <f>SUM('ANGKUTAN LAUT DALAM NEGERI'!C89)</f>
        <v>0</v>
      </c>
      <c r="D89" s="29">
        <f>SUM(PELRA!C89)</f>
        <v>0</v>
      </c>
      <c r="E89" s="29">
        <f>SUM(PERINTIS!C89)</f>
        <v>0</v>
      </c>
      <c r="F89" s="29">
        <f>SUM('ANGKUTAN PENYEBRANGAN'!C89)</f>
        <v>0</v>
      </c>
      <c r="G89" s="29">
        <f t="shared" si="12"/>
        <v>0</v>
      </c>
      <c r="H89" s="30">
        <f>SUM('ANGKUTAN LAUT LUAR NEGERI'!D89,'ANGKUTAN LAUT DALAM NEGERI'!D89,PELRA!D89,PERINTIS!D89,'ANGKUTAN PENYEBRANGAN'!D89)</f>
        <v>0</v>
      </c>
      <c r="I89" s="30">
        <f>SUM(PERINTIS!E89,PELRA!E89,'ANGKUTAN LAUT DALAM NEGERI'!E89,'ANGKUTAN LAUT LUAR NEGERI'!E89)</f>
        <v>0</v>
      </c>
      <c r="J89" s="30">
        <f>SUM(PERINTIS!F89,PELRA!F89,'ANGKUTAN LAUT DALAM NEGERI'!F89,'ANGKUTAN LAUT LUAR NEGERI'!F89)</f>
        <v>0</v>
      </c>
      <c r="K89" s="29">
        <f>SUM(PELRA!I89)</f>
        <v>0</v>
      </c>
      <c r="L89" s="29">
        <f>SUM(PERINTIS!L89,'ANGKUTAN PENYEBRANGAN'!F89)</f>
        <v>0</v>
      </c>
      <c r="M89" s="29">
        <f>SUM('ANGKUTAN PENYEBRANGAN'!E89)</f>
        <v>0</v>
      </c>
      <c r="N89" s="30">
        <f>SUM(PERINTIS!G89,PELRA!G89,'ANGKUTAN LAUT DALAM NEGERI'!G89,'ANGKUTAN LAUT LUAR NEGERI'!G89)</f>
        <v>0</v>
      </c>
      <c r="O89" s="29">
        <f>SUM(PERINTIS!H89,PELRA!H89,'ANGKUTAN LAUT DALAM NEGERI'!H89,'ANGKUTAN LAUT LUAR NEGERI'!H89)</f>
        <v>0</v>
      </c>
      <c r="P89" s="31">
        <f>SUM(PELRA!J89)</f>
        <v>0</v>
      </c>
      <c r="Q89" s="29">
        <f>SUM(PERINTIS!M89,'ANGKUTAN PENYEBRANGAN'!H89)</f>
        <v>0</v>
      </c>
      <c r="R89" s="29">
        <f>SUM('ANGKUTAN PENYEBRANGAN'!G89)</f>
        <v>0</v>
      </c>
      <c r="S89" s="29">
        <f>SUM('ANGKUTAN LAUT LUAR NEGERI'!I89,'ANGKUTAN LAUT DALAM NEGERI'!I89,PELRA!K89,PERINTIS!I89,'ANGKUTAN PENYEBRANGAN'!I89)</f>
        <v>0</v>
      </c>
      <c r="T89" s="31">
        <f>SUM('ANGKUTAN LAUT LUAR NEGERI'!J89,'ANGKUTAN LAUT DALAM NEGERI'!J89,PELRA!L89,PERINTIS!J89,'ANGKUTAN PENYEBRANGAN'!J89)</f>
        <v>0</v>
      </c>
      <c r="U89" s="32">
        <f>SUM('ANGKUTAN LAUT LUAR NEGERI'!K89,'ANGKUTAN LAUT DALAM NEGERI'!K89,PELRA!M89,PERINTIS!K89,'ANGKUTAN PENYEBRANGAN'!K89)</f>
        <v>0</v>
      </c>
    </row>
    <row r="90" spans="1:21">
      <c r="A90" s="33" t="s">
        <v>23</v>
      </c>
      <c r="B90" s="29">
        <f>SUM('ANGKUTAN LAUT LUAR NEGERI'!C90)</f>
        <v>0</v>
      </c>
      <c r="C90" s="29">
        <f>SUM('ANGKUTAN LAUT DALAM NEGERI'!C90)</f>
        <v>0</v>
      </c>
      <c r="D90" s="29">
        <f>SUM(PELRA!C90)</f>
        <v>0</v>
      </c>
      <c r="E90" s="29">
        <f>SUM(PERINTIS!C90)</f>
        <v>0</v>
      </c>
      <c r="F90" s="29">
        <f>SUM('ANGKUTAN PENYEBRANGAN'!C90)</f>
        <v>0</v>
      </c>
      <c r="G90" s="29">
        <f t="shared" si="12"/>
        <v>0</v>
      </c>
      <c r="H90" s="30">
        <f>SUM('ANGKUTAN LAUT LUAR NEGERI'!D90,'ANGKUTAN LAUT DALAM NEGERI'!D90,PELRA!D90,PERINTIS!D90,'ANGKUTAN PENYEBRANGAN'!D90)</f>
        <v>0</v>
      </c>
      <c r="I90" s="30">
        <f>SUM(PERINTIS!E90,PELRA!E90,'ANGKUTAN LAUT DALAM NEGERI'!E90,'ANGKUTAN LAUT LUAR NEGERI'!E90)</f>
        <v>0</v>
      </c>
      <c r="J90" s="30">
        <f>SUM(PERINTIS!F90,PELRA!F90,'ANGKUTAN LAUT DALAM NEGERI'!F90,'ANGKUTAN LAUT LUAR NEGERI'!F90)</f>
        <v>0</v>
      </c>
      <c r="K90" s="29">
        <f>SUM(PELRA!I90)</f>
        <v>0</v>
      </c>
      <c r="L90" s="29">
        <f>SUM(PERINTIS!L90,'ANGKUTAN PENYEBRANGAN'!F90)</f>
        <v>0</v>
      </c>
      <c r="M90" s="29">
        <f>SUM('ANGKUTAN PENYEBRANGAN'!E90)</f>
        <v>0</v>
      </c>
      <c r="N90" s="30">
        <f>SUM(PERINTIS!G90,PELRA!G90,'ANGKUTAN LAUT DALAM NEGERI'!G90,'ANGKUTAN LAUT LUAR NEGERI'!G90)</f>
        <v>0</v>
      </c>
      <c r="O90" s="29">
        <f>SUM(PERINTIS!H90,PELRA!H90,'ANGKUTAN LAUT DALAM NEGERI'!H90,'ANGKUTAN LAUT LUAR NEGERI'!H90)</f>
        <v>0</v>
      </c>
      <c r="P90" s="31">
        <f>SUM(PELRA!J90)</f>
        <v>0</v>
      </c>
      <c r="Q90" s="29">
        <f>SUM(PERINTIS!M90,'ANGKUTAN PENYEBRANGAN'!H90)</f>
        <v>0</v>
      </c>
      <c r="R90" s="29">
        <f>SUM('ANGKUTAN PENYEBRANGAN'!G90)</f>
        <v>0</v>
      </c>
      <c r="S90" s="29">
        <f>SUM('ANGKUTAN LAUT LUAR NEGERI'!I90,'ANGKUTAN LAUT DALAM NEGERI'!I90,PELRA!K90,PERINTIS!I90,'ANGKUTAN PENYEBRANGAN'!I90)</f>
        <v>0</v>
      </c>
      <c r="T90" s="31">
        <f>SUM('ANGKUTAN LAUT LUAR NEGERI'!J90,'ANGKUTAN LAUT DALAM NEGERI'!J90,PELRA!L90,PERINTIS!J90,'ANGKUTAN PENYEBRANGAN'!J90)</f>
        <v>0</v>
      </c>
      <c r="U90" s="32">
        <f>SUM('ANGKUTAN LAUT LUAR NEGERI'!K90,'ANGKUTAN LAUT DALAM NEGERI'!K90,PELRA!M90,PERINTIS!K90,'ANGKUTAN PENYEBRANGAN'!K90)</f>
        <v>0</v>
      </c>
    </row>
    <row r="91" spans="1:21">
      <c r="A91" s="33" t="s">
        <v>24</v>
      </c>
      <c r="B91" s="29">
        <f>SUM('ANGKUTAN LAUT LUAR NEGERI'!C91)</f>
        <v>0</v>
      </c>
      <c r="C91" s="29">
        <f>SUM('ANGKUTAN LAUT DALAM NEGERI'!C91)</f>
        <v>0</v>
      </c>
      <c r="D91" s="29">
        <f>SUM(PELRA!C91)</f>
        <v>0</v>
      </c>
      <c r="E91" s="29">
        <f>SUM(PERINTIS!C91)</f>
        <v>0</v>
      </c>
      <c r="F91" s="29">
        <f>SUM('ANGKUTAN PENYEBRANGAN'!C91)</f>
        <v>0</v>
      </c>
      <c r="G91" s="29">
        <f t="shared" si="12"/>
        <v>0</v>
      </c>
      <c r="H91" s="30">
        <f>SUM('ANGKUTAN LAUT LUAR NEGERI'!D91,'ANGKUTAN LAUT DALAM NEGERI'!D91,PELRA!D91,PERINTIS!D91,'ANGKUTAN PENYEBRANGAN'!D91)</f>
        <v>0</v>
      </c>
      <c r="I91" s="30">
        <f>SUM(PERINTIS!E91,PELRA!E91,'ANGKUTAN LAUT DALAM NEGERI'!E91,'ANGKUTAN LAUT LUAR NEGERI'!E91)</f>
        <v>0</v>
      </c>
      <c r="J91" s="30">
        <f>SUM(PERINTIS!F91,PELRA!F91,'ANGKUTAN LAUT DALAM NEGERI'!F91,'ANGKUTAN LAUT LUAR NEGERI'!F91)</f>
        <v>0</v>
      </c>
      <c r="K91" s="29">
        <f>SUM(PELRA!I91)</f>
        <v>0</v>
      </c>
      <c r="L91" s="29">
        <f>SUM(PERINTIS!L91,'ANGKUTAN PENYEBRANGAN'!F91)</f>
        <v>0</v>
      </c>
      <c r="M91" s="29">
        <f>SUM('ANGKUTAN PENYEBRANGAN'!E91)</f>
        <v>0</v>
      </c>
      <c r="N91" s="30">
        <f>SUM(PERINTIS!G91,PELRA!G91,'ANGKUTAN LAUT DALAM NEGERI'!G91,'ANGKUTAN LAUT LUAR NEGERI'!G91)</f>
        <v>0</v>
      </c>
      <c r="O91" s="29">
        <f>SUM(PERINTIS!H91,PELRA!H91,'ANGKUTAN LAUT DALAM NEGERI'!H91,'ANGKUTAN LAUT LUAR NEGERI'!H91)</f>
        <v>0</v>
      </c>
      <c r="P91" s="31">
        <f>SUM(PELRA!J91)</f>
        <v>0</v>
      </c>
      <c r="Q91" s="29">
        <f>SUM(PERINTIS!M91,'ANGKUTAN PENYEBRANGAN'!H91)</f>
        <v>0</v>
      </c>
      <c r="R91" s="29">
        <f>SUM('ANGKUTAN PENYEBRANGAN'!G91)</f>
        <v>0</v>
      </c>
      <c r="S91" s="29">
        <f>SUM('ANGKUTAN LAUT LUAR NEGERI'!I91,'ANGKUTAN LAUT DALAM NEGERI'!I91,PELRA!K91,PERINTIS!I91,'ANGKUTAN PENYEBRANGAN'!I91)</f>
        <v>0</v>
      </c>
      <c r="T91" s="31">
        <f>SUM('ANGKUTAN LAUT LUAR NEGERI'!J91,'ANGKUTAN LAUT DALAM NEGERI'!J91,PELRA!L91,PERINTIS!J91,'ANGKUTAN PENYEBRANGAN'!J91)</f>
        <v>0</v>
      </c>
      <c r="U91" s="32">
        <f>SUM('ANGKUTAN LAUT LUAR NEGERI'!K91,'ANGKUTAN LAUT DALAM NEGERI'!K91,PELRA!M91,PERINTIS!K91,'ANGKUTAN PENYEBRANGAN'!K91)</f>
        <v>0</v>
      </c>
    </row>
    <row r="92" ht="14.25" spans="1:21">
      <c r="A92" s="35" t="s">
        <v>25</v>
      </c>
      <c r="B92" s="36">
        <f>SUM('ANGKUTAN LAUT LUAR NEGERI'!C92)</f>
        <v>0</v>
      </c>
      <c r="C92" s="36">
        <f>SUM('ANGKUTAN LAUT DALAM NEGERI'!C92)</f>
        <v>0</v>
      </c>
      <c r="D92" s="36">
        <f>SUM(PELRA!C92)</f>
        <v>0</v>
      </c>
      <c r="E92" s="36">
        <f>SUM(PERINTIS!C92)</f>
        <v>0</v>
      </c>
      <c r="F92" s="36">
        <f>SUM('ANGKUTAN PENYEBRANGAN'!C92)</f>
        <v>0</v>
      </c>
      <c r="G92" s="36">
        <f t="shared" si="12"/>
        <v>0</v>
      </c>
      <c r="H92" s="37">
        <f>SUM('ANGKUTAN LAUT LUAR NEGERI'!D92,'ANGKUTAN LAUT DALAM NEGERI'!D92,PELRA!D92,PERINTIS!D92,'ANGKUTAN PENYEBRANGAN'!D92)</f>
        <v>0</v>
      </c>
      <c r="I92" s="37">
        <f>SUM(PERINTIS!E92,PELRA!E92,'ANGKUTAN LAUT DALAM NEGERI'!E92,'ANGKUTAN LAUT LUAR NEGERI'!E92)</f>
        <v>0</v>
      </c>
      <c r="J92" s="37">
        <f>SUM(PERINTIS!F92,PELRA!F92,'ANGKUTAN LAUT DALAM NEGERI'!F92,'ANGKUTAN LAUT LUAR NEGERI'!F92)</f>
        <v>0</v>
      </c>
      <c r="K92" s="36">
        <f>SUM(PELRA!I92)</f>
        <v>0</v>
      </c>
      <c r="L92" s="36">
        <f>SUM(PERINTIS!L92,'ANGKUTAN PENYEBRANGAN'!F92)</f>
        <v>0</v>
      </c>
      <c r="M92" s="36">
        <f>SUM('ANGKUTAN PENYEBRANGAN'!E92)</f>
        <v>0</v>
      </c>
      <c r="N92" s="37">
        <f>SUM(PERINTIS!G92,PELRA!G92,'ANGKUTAN LAUT DALAM NEGERI'!G92,'ANGKUTAN LAUT LUAR NEGERI'!G92)</f>
        <v>0</v>
      </c>
      <c r="O92" s="36">
        <f>SUM(PERINTIS!H92,PELRA!H92,'ANGKUTAN LAUT DALAM NEGERI'!H92,'ANGKUTAN LAUT LUAR NEGERI'!H92)</f>
        <v>0</v>
      </c>
      <c r="P92" s="38">
        <f>SUM(PELRA!J92)</f>
        <v>0</v>
      </c>
      <c r="Q92" s="36">
        <f>SUM(PERINTIS!M92,'ANGKUTAN PENYEBRANGAN'!H92)</f>
        <v>0</v>
      </c>
      <c r="R92" s="36">
        <f>SUM('ANGKUTAN PENYEBRANGAN'!G92)</f>
        <v>0</v>
      </c>
      <c r="S92" s="36">
        <f>SUM('ANGKUTAN LAUT LUAR NEGERI'!I92,'ANGKUTAN LAUT DALAM NEGERI'!I92,PELRA!K92,PERINTIS!I92,'ANGKUTAN PENYEBRANGAN'!I92)</f>
        <v>0</v>
      </c>
      <c r="T92" s="38">
        <f>SUM('ANGKUTAN LAUT LUAR NEGERI'!J92,'ANGKUTAN LAUT DALAM NEGERI'!J92,PELRA!L92,PERINTIS!J92,'ANGKUTAN PENYEBRANGAN'!J92)</f>
        <v>0</v>
      </c>
      <c r="U92" s="39">
        <f>SUM('ANGKUTAN LAUT LUAR NEGERI'!K92,'ANGKUTAN LAUT DALAM NEGERI'!K92,PELRA!M92,PERINTIS!K92,'ANGKUTAN PENYEBRANGAN'!K92)</f>
        <v>0</v>
      </c>
    </row>
    <row r="93" ht="15" spans="1:21">
      <c r="A93" s="40" t="s">
        <v>26</v>
      </c>
      <c r="B93" s="41">
        <f t="shared" ref="B93:U93" si="13">SUM(B81:B92)</f>
        <v>0</v>
      </c>
      <c r="C93" s="41">
        <f t="shared" si="13"/>
        <v>0</v>
      </c>
      <c r="D93" s="41">
        <f t="shared" si="13"/>
        <v>3</v>
      </c>
      <c r="E93" s="41">
        <f t="shared" si="13"/>
        <v>9</v>
      </c>
      <c r="F93" s="41">
        <f t="shared" si="13"/>
        <v>10</v>
      </c>
      <c r="G93" s="41">
        <f t="shared" si="13"/>
        <v>22</v>
      </c>
      <c r="H93" s="41">
        <f t="shared" si="13"/>
        <v>27628</v>
      </c>
      <c r="I93" s="41">
        <f t="shared" si="13"/>
        <v>58</v>
      </c>
      <c r="J93" s="41">
        <f t="shared" si="13"/>
        <v>0</v>
      </c>
      <c r="K93" s="41">
        <f t="shared" si="13"/>
        <v>0</v>
      </c>
      <c r="L93" s="41">
        <f t="shared" si="13"/>
        <v>27</v>
      </c>
      <c r="M93" s="41">
        <f t="shared" si="13"/>
        <v>2</v>
      </c>
      <c r="N93" s="41">
        <f t="shared" si="13"/>
        <v>519</v>
      </c>
      <c r="O93" s="41">
        <f t="shared" si="13"/>
        <v>0</v>
      </c>
      <c r="P93" s="41">
        <f t="shared" si="13"/>
        <v>0</v>
      </c>
      <c r="Q93" s="41">
        <f t="shared" si="13"/>
        <v>23</v>
      </c>
      <c r="R93" s="41">
        <f t="shared" si="13"/>
        <v>2</v>
      </c>
      <c r="S93" s="41">
        <f t="shared" si="13"/>
        <v>1048</v>
      </c>
      <c r="T93" s="42">
        <f t="shared" ref="T93" si="14">SUM(T81:T92)</f>
        <v>746</v>
      </c>
      <c r="U93" s="43">
        <f t="shared" si="13"/>
        <v>131</v>
      </c>
    </row>
    <row r="94" ht="15"/>
    <row r="95" ht="15" spans="1:21">
      <c r="A95" s="3" t="s">
        <v>31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</row>
    <row r="96" ht="14.25" spans="1:21">
      <c r="A96" s="6" t="s">
        <v>5</v>
      </c>
      <c r="B96" s="7" t="s">
        <v>55</v>
      </c>
      <c r="C96" s="8"/>
      <c r="D96" s="8"/>
      <c r="E96" s="8"/>
      <c r="F96" s="9"/>
      <c r="G96" s="7" t="s">
        <v>56</v>
      </c>
      <c r="H96" s="9"/>
      <c r="I96" s="7" t="s">
        <v>39</v>
      </c>
      <c r="J96" s="8"/>
      <c r="K96" s="8"/>
      <c r="L96" s="8"/>
      <c r="M96" s="9"/>
      <c r="N96" s="7" t="s">
        <v>40</v>
      </c>
      <c r="O96" s="8"/>
      <c r="P96" s="8"/>
      <c r="Q96" s="8"/>
      <c r="R96" s="9"/>
      <c r="S96" s="7" t="s">
        <v>38</v>
      </c>
      <c r="T96" s="8"/>
      <c r="U96" s="10"/>
    </row>
    <row r="97" ht="16.5" customHeight="1" spans="1:21">
      <c r="A97" s="11"/>
      <c r="B97" s="12" t="s">
        <v>57</v>
      </c>
      <c r="C97" s="12" t="s">
        <v>58</v>
      </c>
      <c r="D97" s="13" t="s">
        <v>59</v>
      </c>
      <c r="E97" s="13" t="s">
        <v>47</v>
      </c>
      <c r="F97" s="13" t="s">
        <v>60</v>
      </c>
      <c r="G97" s="12" t="s">
        <v>61</v>
      </c>
      <c r="H97" s="13" t="s">
        <v>62</v>
      </c>
      <c r="I97" s="14" t="s">
        <v>63</v>
      </c>
      <c r="J97" s="15"/>
      <c r="K97" s="12" t="s">
        <v>64</v>
      </c>
      <c r="L97" s="14" t="s">
        <v>65</v>
      </c>
      <c r="M97" s="15"/>
      <c r="N97" s="14" t="s">
        <v>63</v>
      </c>
      <c r="O97" s="15"/>
      <c r="P97" s="12" t="s">
        <v>64</v>
      </c>
      <c r="Q97" s="14" t="s">
        <v>65</v>
      </c>
      <c r="R97" s="15"/>
      <c r="S97" s="16" t="s">
        <v>43</v>
      </c>
      <c r="T97" s="14" t="s">
        <v>44</v>
      </c>
      <c r="U97" s="17" t="s">
        <v>45</v>
      </c>
    </row>
    <row r="98" ht="14.25" spans="1:21">
      <c r="A98" s="18"/>
      <c r="B98" s="19"/>
      <c r="C98" s="19"/>
      <c r="D98" s="20"/>
      <c r="E98" s="20"/>
      <c r="F98" s="20"/>
      <c r="G98" s="19"/>
      <c r="H98" s="20"/>
      <c r="I98" s="20" t="s">
        <v>41</v>
      </c>
      <c r="J98" s="20" t="s">
        <v>42</v>
      </c>
      <c r="K98" s="19"/>
      <c r="L98" s="20" t="s">
        <v>48</v>
      </c>
      <c r="M98" s="20" t="s">
        <v>51</v>
      </c>
      <c r="N98" s="20" t="s">
        <v>41</v>
      </c>
      <c r="O98" s="20" t="s">
        <v>42</v>
      </c>
      <c r="P98" s="19"/>
      <c r="Q98" s="20" t="s">
        <v>48</v>
      </c>
      <c r="R98" s="20" t="s">
        <v>51</v>
      </c>
      <c r="S98" s="20" t="s">
        <v>66</v>
      </c>
      <c r="T98" s="21" t="s">
        <v>67</v>
      </c>
      <c r="U98" s="22" t="s">
        <v>67</v>
      </c>
    </row>
    <row r="99" ht="14.25" spans="1:21">
      <c r="A99" s="23" t="s">
        <v>14</v>
      </c>
      <c r="B99" s="24">
        <f>SUM('ANGKUTAN LAUT LUAR NEGERI'!C99)</f>
        <v>0</v>
      </c>
      <c r="C99" s="24">
        <f>SUM('ANGKUTAN LAUT DALAM NEGERI'!C99)</f>
        <v>0</v>
      </c>
      <c r="D99" s="24">
        <f>SUM(PELRA!C99)</f>
        <v>1</v>
      </c>
      <c r="E99" s="24">
        <f>SUM(PERINTIS!C99)</f>
        <v>5</v>
      </c>
      <c r="F99" s="24">
        <f>SUM('ANGKUTAN PENYEBRANGAN'!C99)</f>
        <v>7</v>
      </c>
      <c r="G99" s="24">
        <f>SUM(B99:F99)</f>
        <v>13</v>
      </c>
      <c r="H99" s="25">
        <f>SUM('ANGKUTAN LAUT LUAR NEGERI'!D99,'ANGKUTAN LAUT DALAM NEGERI'!D99,PELRA!D99,PERINTIS!D99,'ANGKUTAN PENYEBRANGAN'!D99)</f>
        <v>16543</v>
      </c>
      <c r="I99" s="25">
        <f>SUM(PERINTIS!E99,PELRA!E99,'ANGKUTAN LAUT DALAM NEGERI'!E99,'ANGKUTAN LAUT LUAR NEGERI'!E99)</f>
        <v>367</v>
      </c>
      <c r="J99" s="25">
        <f>SUM(PERINTIS!F99,PELRA!F99,'ANGKUTAN LAUT DALAM NEGERI'!F99,'ANGKUTAN LAUT LUAR NEGERI'!F99)</f>
        <v>0</v>
      </c>
      <c r="K99" s="24">
        <f>SUM(PELRA!I99)</f>
        <v>0</v>
      </c>
      <c r="L99" s="24">
        <f>SUM(PERINTIS!L99,'ANGKUTAN PENYEBRANGAN'!F99)</f>
        <v>0</v>
      </c>
      <c r="M99" s="24">
        <f>SUM('ANGKUTAN PENYEBRANGAN'!E99)</f>
        <v>0</v>
      </c>
      <c r="N99" s="24">
        <f>SUM(PERINTIS!G99,PELRA!G99,'ANGKUTAN LAUT DALAM NEGERI'!G99,'ANGKUTAN LAUT LUAR NEGERI'!G99)</f>
        <v>0</v>
      </c>
      <c r="O99" s="24">
        <f>SUM(PERINTIS!H99,PELRA!H99,'ANGKUTAN LAUT DALAM NEGERI'!H99,'ANGKUTAN LAUT LUAR NEGERI'!H99)</f>
        <v>0</v>
      </c>
      <c r="P99" s="26">
        <f>SUM(PELRA!J99)</f>
        <v>0</v>
      </c>
      <c r="Q99" s="24">
        <f>SUM(PERINTIS!M99,'ANGKUTAN PENYEBRANGAN'!H99)</f>
        <v>0</v>
      </c>
      <c r="R99" s="24">
        <f>SUM('ANGKUTAN PENYEBRANGAN'!G99)</f>
        <v>0</v>
      </c>
      <c r="S99" s="24">
        <f>SUM('ANGKUTAN LAUT LUAR NEGERI'!I99,'ANGKUTAN LAUT DALAM NEGERI'!I99,PELRA!K99,PERINTIS!I99,'ANGKUTAN PENYEBRANGAN'!I99)</f>
        <v>180</v>
      </c>
      <c r="T99" s="26">
        <f>SUM('ANGKUTAN LAUT LUAR NEGERI'!J99,'ANGKUTAN LAUT DALAM NEGERI'!J99,PELRA!L99,PERINTIS!J99,'ANGKUTAN PENYEBRANGAN'!J99)</f>
        <v>148</v>
      </c>
      <c r="U99" s="27">
        <f>SUM('ANGKUTAN LAUT LUAR NEGERI'!K99,'ANGKUTAN LAUT DALAM NEGERI'!K99,PELRA!M99,PERINTIS!K99,'ANGKUTAN PENYEBRANGAN'!K99)</f>
        <v>1659</v>
      </c>
    </row>
    <row r="100" spans="1:21">
      <c r="A100" s="28" t="s">
        <v>15</v>
      </c>
      <c r="B100" s="47">
        <f>SUM('ANGKUTAN LAUT LUAR NEGERI'!C100)</f>
        <v>0</v>
      </c>
      <c r="C100" s="47">
        <f>SUM('ANGKUTAN LAUT DALAM NEGERI'!C100)</f>
        <v>2</v>
      </c>
      <c r="D100" s="47">
        <f>SUM(PELRA!C100)</f>
        <v>0</v>
      </c>
      <c r="E100" s="47">
        <f>SUM(PERINTIS!C100)</f>
        <v>5</v>
      </c>
      <c r="F100" s="47">
        <f>SUM('ANGKUTAN PENYEBRANGAN'!C100)</f>
        <v>13</v>
      </c>
      <c r="G100" s="47">
        <f t="shared" ref="G100:G110" si="15">SUM(B100:F100)</f>
        <v>20</v>
      </c>
      <c r="H100" s="48">
        <f>SUM('ANGKUTAN LAUT LUAR NEGERI'!D100,'ANGKUTAN LAUT DALAM NEGERI'!D100,PELRA!D100,PERINTIS!D100,'ANGKUTAN PENYEBRANGAN'!D100)</f>
        <v>22079</v>
      </c>
      <c r="I100" s="30">
        <f>SUM(PERINTIS!E100,PELRA!E100,'ANGKUTAN LAUT DALAM NEGERI'!E100,'ANGKUTAN LAUT LUAR NEGERI'!E100)</f>
        <v>1</v>
      </c>
      <c r="J100" s="30">
        <f>SUM(PERINTIS!F100,PELRA!F100,'ANGKUTAN LAUT DALAM NEGERI'!F100,'ANGKUTAN LAUT LUAR NEGERI'!F100)</f>
        <v>0</v>
      </c>
      <c r="K100" s="47">
        <f>SUM(PELRA!I100)</f>
        <v>0</v>
      </c>
      <c r="L100" s="47">
        <f>SUM(PERINTIS!L100,'ANGKUTAN PENYEBRANGAN'!F100)</f>
        <v>0</v>
      </c>
      <c r="M100" s="47">
        <f>SUM('ANGKUTAN PENYEBRANGAN'!E100)</f>
        <v>0</v>
      </c>
      <c r="N100" s="29">
        <f>SUM(PERINTIS!G100,PELRA!G100,'ANGKUTAN LAUT DALAM NEGERI'!G100,'ANGKUTAN LAUT LUAR NEGERI'!G100)</f>
        <v>0</v>
      </c>
      <c r="O100" s="29">
        <f>SUM(PERINTIS!H100,PELRA!H100,'ANGKUTAN LAUT DALAM NEGERI'!H100,'ANGKUTAN LAUT LUAR NEGERI'!H100)</f>
        <v>0</v>
      </c>
      <c r="P100" s="49">
        <f>SUM(PELRA!J100)</f>
        <v>0</v>
      </c>
      <c r="Q100" s="47">
        <f>SUM(PERINTIS!M100,'ANGKUTAN PENYEBRANGAN'!H100)</f>
        <v>0</v>
      </c>
      <c r="R100" s="47">
        <f>SUM('ANGKUTAN PENYEBRANGAN'!G100)</f>
        <v>0</v>
      </c>
      <c r="S100" s="47">
        <f>SUM('ANGKUTAN LAUT LUAR NEGERI'!I100,'ANGKUTAN LAUT DALAM NEGERI'!I100,PELRA!K100,PERINTIS!I100,'ANGKUTAN PENYEBRANGAN'!I100)</f>
        <v>144</v>
      </c>
      <c r="T100" s="49">
        <f>SUM('ANGKUTAN LAUT LUAR NEGERI'!J100,'ANGKUTAN LAUT DALAM NEGERI'!J100,PELRA!L100,PERINTIS!J100,'ANGKUTAN PENYEBRANGAN'!J100)</f>
        <v>157</v>
      </c>
      <c r="U100" s="50">
        <f>SUM('ANGKUTAN LAUT LUAR NEGERI'!K100,'ANGKUTAN LAUT DALAM NEGERI'!K100,PELRA!M100,PERINTIS!K100,'ANGKUTAN PENYEBRANGAN'!K100)</f>
        <v>1468</v>
      </c>
    </row>
    <row r="101" spans="1:21">
      <c r="A101" s="33" t="s">
        <v>16</v>
      </c>
      <c r="B101" s="29">
        <f>SUM('ANGKUTAN LAUT LUAR NEGERI'!C101)</f>
        <v>0</v>
      </c>
      <c r="C101" s="29">
        <f>SUM('ANGKUTAN LAUT DALAM NEGERI'!C101)</f>
        <v>0</v>
      </c>
      <c r="D101" s="29">
        <f>SUM(PELRA!C101)</f>
        <v>0</v>
      </c>
      <c r="E101" s="29">
        <f>SUM(PERINTIS!C101)</f>
        <v>0</v>
      </c>
      <c r="F101" s="29">
        <f>SUM('ANGKUTAN PENYEBRANGAN'!C101)</f>
        <v>0</v>
      </c>
      <c r="G101" s="29">
        <f t="shared" si="15"/>
        <v>0</v>
      </c>
      <c r="H101" s="30">
        <f>SUM('ANGKUTAN LAUT LUAR NEGERI'!D101,'ANGKUTAN LAUT DALAM NEGERI'!D101,PELRA!D101,PERINTIS!D101,'ANGKUTAN PENYEBRANGAN'!D101)</f>
        <v>0</v>
      </c>
      <c r="I101" s="30">
        <f>SUM(PERINTIS!E101,PELRA!E101,'ANGKUTAN LAUT DALAM NEGERI'!E101,'ANGKUTAN LAUT LUAR NEGERI'!E101)</f>
        <v>0</v>
      </c>
      <c r="J101" s="30">
        <f>SUM(PERINTIS!F101,PELRA!F101,'ANGKUTAN LAUT DALAM NEGERI'!F101,'ANGKUTAN LAUT LUAR NEGERI'!F101)</f>
        <v>0</v>
      </c>
      <c r="K101" s="29">
        <f>SUM(PELRA!I101)</f>
        <v>0</v>
      </c>
      <c r="L101" s="29">
        <f>SUM(PERINTIS!L101,'ANGKUTAN PENYEBRANGAN'!F101)</f>
        <v>0</v>
      </c>
      <c r="M101" s="29">
        <f>SUM('ANGKUTAN PENYEBRANGAN'!E101)</f>
        <v>0</v>
      </c>
      <c r="N101" s="29">
        <f>SUM(PERINTIS!G101,PELRA!G101,'ANGKUTAN LAUT DALAM NEGERI'!G101,'ANGKUTAN LAUT LUAR NEGERI'!G101)</f>
        <v>0</v>
      </c>
      <c r="O101" s="29">
        <f>SUM(PERINTIS!H101,PELRA!H101,'ANGKUTAN LAUT DALAM NEGERI'!H101,'ANGKUTAN LAUT LUAR NEGERI'!H101)</f>
        <v>0</v>
      </c>
      <c r="P101" s="31">
        <f>SUM(PELRA!J101)</f>
        <v>0</v>
      </c>
      <c r="Q101" s="29">
        <f>SUM(PERINTIS!M101,'ANGKUTAN PENYEBRANGAN'!H101)</f>
        <v>0</v>
      </c>
      <c r="R101" s="29">
        <f>SUM('ANGKUTAN PENYEBRANGAN'!G101)</f>
        <v>0</v>
      </c>
      <c r="S101" s="29">
        <f>SUM('ANGKUTAN LAUT LUAR NEGERI'!I101,'ANGKUTAN LAUT DALAM NEGERI'!I101,PELRA!K101,PERINTIS!I101,'ANGKUTAN PENYEBRANGAN'!I101)</f>
        <v>0</v>
      </c>
      <c r="T101" s="31">
        <f>SUM('ANGKUTAN LAUT LUAR NEGERI'!J101,'ANGKUTAN LAUT DALAM NEGERI'!J101,PELRA!L101,PERINTIS!J101,'ANGKUTAN PENYEBRANGAN'!J101)</f>
        <v>0</v>
      </c>
      <c r="U101" s="32">
        <f>SUM('ANGKUTAN LAUT LUAR NEGERI'!K101,'ANGKUTAN LAUT DALAM NEGERI'!K101,PELRA!M101,PERINTIS!K101,'ANGKUTAN PENYEBRANGAN'!K101)</f>
        <v>0</v>
      </c>
    </row>
    <row r="102" spans="1:21">
      <c r="A102" s="28" t="s">
        <v>17</v>
      </c>
      <c r="B102" s="29">
        <f>SUM('ANGKUTAN LAUT LUAR NEGERI'!C102)</f>
        <v>0</v>
      </c>
      <c r="C102" s="29">
        <f>SUM('ANGKUTAN LAUT DALAM NEGERI'!C102)</f>
        <v>0</v>
      </c>
      <c r="D102" s="29">
        <f>SUM(PELRA!C102)</f>
        <v>0</v>
      </c>
      <c r="E102" s="29">
        <f>SUM(PERINTIS!C102)</f>
        <v>0</v>
      </c>
      <c r="F102" s="29">
        <f>SUM('ANGKUTAN PENYEBRANGAN'!C102)</f>
        <v>0</v>
      </c>
      <c r="G102" s="29">
        <f t="shared" si="15"/>
        <v>0</v>
      </c>
      <c r="H102" s="30">
        <f>SUM('ANGKUTAN LAUT LUAR NEGERI'!D102,'ANGKUTAN LAUT DALAM NEGERI'!D102,PELRA!D102,PERINTIS!D102,'ANGKUTAN PENYEBRANGAN'!D102)</f>
        <v>0</v>
      </c>
      <c r="I102" s="30">
        <f>SUM(PERINTIS!E102,PELRA!E102,'ANGKUTAN LAUT DALAM NEGERI'!E102,'ANGKUTAN LAUT LUAR NEGERI'!E102)</f>
        <v>0</v>
      </c>
      <c r="J102" s="30">
        <f>SUM(PERINTIS!F102,PELRA!F102,'ANGKUTAN LAUT DALAM NEGERI'!F102,'ANGKUTAN LAUT LUAR NEGERI'!F102)</f>
        <v>0</v>
      </c>
      <c r="K102" s="29">
        <f>SUM(PELRA!I102)</f>
        <v>0</v>
      </c>
      <c r="L102" s="29">
        <f>SUM(PERINTIS!L102,'ANGKUTAN PENYEBRANGAN'!F102)</f>
        <v>0</v>
      </c>
      <c r="M102" s="29">
        <f>SUM('ANGKUTAN PENYEBRANGAN'!E102)</f>
        <v>0</v>
      </c>
      <c r="N102" s="29">
        <f>SUM(PERINTIS!G102,PELRA!G102,'ANGKUTAN LAUT DALAM NEGERI'!G102,'ANGKUTAN LAUT LUAR NEGERI'!G102)</f>
        <v>0</v>
      </c>
      <c r="O102" s="29">
        <f>SUM(PERINTIS!H102,PELRA!H102,'ANGKUTAN LAUT DALAM NEGERI'!H102,'ANGKUTAN LAUT LUAR NEGERI'!H102)</f>
        <v>0</v>
      </c>
      <c r="P102" s="31">
        <f>SUM(PELRA!J102)</f>
        <v>0</v>
      </c>
      <c r="Q102" s="29">
        <f>SUM(PERINTIS!M102,'ANGKUTAN PENYEBRANGAN'!H102)</f>
        <v>0</v>
      </c>
      <c r="R102" s="29">
        <f>SUM('ANGKUTAN PENYEBRANGAN'!G102)</f>
        <v>0</v>
      </c>
      <c r="S102" s="29">
        <f>SUM('ANGKUTAN LAUT LUAR NEGERI'!I102,'ANGKUTAN LAUT DALAM NEGERI'!I102,PELRA!K102,PERINTIS!I102,'ANGKUTAN PENYEBRANGAN'!I102)</f>
        <v>0</v>
      </c>
      <c r="T102" s="31">
        <f>SUM('ANGKUTAN LAUT LUAR NEGERI'!J102,'ANGKUTAN LAUT DALAM NEGERI'!J102,PELRA!L102,PERINTIS!J102,'ANGKUTAN PENYEBRANGAN'!J102)</f>
        <v>0</v>
      </c>
      <c r="U102" s="32">
        <f>SUM('ANGKUTAN LAUT LUAR NEGERI'!K102,'ANGKUTAN LAUT DALAM NEGERI'!K102,PELRA!M102,PERINTIS!K102,'ANGKUTAN PENYEBRANGAN'!K102)</f>
        <v>0</v>
      </c>
    </row>
    <row r="103" spans="1:21">
      <c r="A103" s="28" t="s">
        <v>18</v>
      </c>
      <c r="B103" s="29">
        <f>SUM('ANGKUTAN LAUT LUAR NEGERI'!C103)</f>
        <v>0</v>
      </c>
      <c r="C103" s="29">
        <f>SUM('ANGKUTAN LAUT DALAM NEGERI'!C103)</f>
        <v>0</v>
      </c>
      <c r="D103" s="29">
        <f>SUM(PELRA!C103)</f>
        <v>0</v>
      </c>
      <c r="E103" s="29">
        <f>SUM(PERINTIS!C103)</f>
        <v>0</v>
      </c>
      <c r="F103" s="29">
        <f>SUM('ANGKUTAN PENYEBRANGAN'!C103)</f>
        <v>0</v>
      </c>
      <c r="G103" s="29">
        <f t="shared" si="15"/>
        <v>0</v>
      </c>
      <c r="H103" s="30">
        <f>SUM('ANGKUTAN LAUT LUAR NEGERI'!D103,'ANGKUTAN LAUT DALAM NEGERI'!D103,PELRA!D103,PERINTIS!D103,'ANGKUTAN PENYEBRANGAN'!D103)</f>
        <v>0</v>
      </c>
      <c r="I103" s="30">
        <f>SUM(PERINTIS!E103,PELRA!E103,'ANGKUTAN LAUT DALAM NEGERI'!E103,'ANGKUTAN LAUT LUAR NEGERI'!E103)</f>
        <v>0</v>
      </c>
      <c r="J103" s="30">
        <f>SUM(PERINTIS!F103,PELRA!F103,'ANGKUTAN LAUT DALAM NEGERI'!F103,'ANGKUTAN LAUT LUAR NEGERI'!F103)</f>
        <v>0</v>
      </c>
      <c r="K103" s="29">
        <f>SUM(PELRA!I103)</f>
        <v>0</v>
      </c>
      <c r="L103" s="29">
        <f>SUM(PERINTIS!L103,'ANGKUTAN PENYEBRANGAN'!F103)</f>
        <v>0</v>
      </c>
      <c r="M103" s="29">
        <f>SUM('ANGKUTAN PENYEBRANGAN'!E103)</f>
        <v>0</v>
      </c>
      <c r="N103" s="29">
        <f>SUM(PERINTIS!G103,PELRA!G103,'ANGKUTAN LAUT DALAM NEGERI'!G103,'ANGKUTAN LAUT LUAR NEGERI'!G103)</f>
        <v>0</v>
      </c>
      <c r="O103" s="29">
        <f>SUM(PERINTIS!H103,PELRA!H103,'ANGKUTAN LAUT DALAM NEGERI'!H103,'ANGKUTAN LAUT LUAR NEGERI'!H103)</f>
        <v>0</v>
      </c>
      <c r="P103" s="31">
        <f>SUM(PELRA!J103)</f>
        <v>0</v>
      </c>
      <c r="Q103" s="29">
        <f>SUM(PERINTIS!M103,'ANGKUTAN PENYEBRANGAN'!H103)</f>
        <v>0</v>
      </c>
      <c r="R103" s="29">
        <f>SUM('ANGKUTAN PENYEBRANGAN'!G103)</f>
        <v>0</v>
      </c>
      <c r="S103" s="29">
        <f>SUM('ANGKUTAN LAUT LUAR NEGERI'!I103,'ANGKUTAN LAUT DALAM NEGERI'!I103,PELRA!K103,PERINTIS!I103,'ANGKUTAN PENYEBRANGAN'!I103)</f>
        <v>0</v>
      </c>
      <c r="T103" s="31">
        <f>SUM('ANGKUTAN LAUT LUAR NEGERI'!J103,'ANGKUTAN LAUT DALAM NEGERI'!J103,PELRA!L103,PERINTIS!J103,'ANGKUTAN PENYEBRANGAN'!J103)</f>
        <v>0</v>
      </c>
      <c r="U103" s="32">
        <f>SUM('ANGKUTAN LAUT LUAR NEGERI'!K103,'ANGKUTAN LAUT DALAM NEGERI'!K103,PELRA!M103,PERINTIS!K103,'ANGKUTAN PENYEBRANGAN'!K103)</f>
        <v>0</v>
      </c>
    </row>
    <row r="104" spans="1:21">
      <c r="A104" s="34" t="s">
        <v>19</v>
      </c>
      <c r="B104" s="29">
        <f>SUM('ANGKUTAN LAUT LUAR NEGERI'!C104)</f>
        <v>0</v>
      </c>
      <c r="C104" s="29">
        <f>SUM('ANGKUTAN LAUT DALAM NEGERI'!C104)</f>
        <v>0</v>
      </c>
      <c r="D104" s="29">
        <f>SUM(PELRA!C104)</f>
        <v>0</v>
      </c>
      <c r="E104" s="29">
        <f>SUM(PERINTIS!C104)</f>
        <v>0</v>
      </c>
      <c r="F104" s="29">
        <f>SUM('ANGKUTAN PENYEBRANGAN'!C104)</f>
        <v>0</v>
      </c>
      <c r="G104" s="29">
        <f t="shared" si="15"/>
        <v>0</v>
      </c>
      <c r="H104" s="30">
        <f>SUM('ANGKUTAN LAUT LUAR NEGERI'!D104,'ANGKUTAN LAUT DALAM NEGERI'!D104,PELRA!D104,PERINTIS!D104,'ANGKUTAN PENYEBRANGAN'!D104)</f>
        <v>0</v>
      </c>
      <c r="I104" s="30">
        <f>SUM(PERINTIS!E104,PELRA!E104,'ANGKUTAN LAUT DALAM NEGERI'!E104,'ANGKUTAN LAUT LUAR NEGERI'!E104)</f>
        <v>0</v>
      </c>
      <c r="J104" s="30">
        <f>SUM(PERINTIS!F104,PELRA!F104,'ANGKUTAN LAUT DALAM NEGERI'!F104,'ANGKUTAN LAUT LUAR NEGERI'!F104)</f>
        <v>0</v>
      </c>
      <c r="K104" s="29">
        <f>SUM(PELRA!I104)</f>
        <v>0</v>
      </c>
      <c r="L104" s="29">
        <f>SUM(PERINTIS!L104,'ANGKUTAN PENYEBRANGAN'!F104)</f>
        <v>0</v>
      </c>
      <c r="M104" s="29">
        <f>SUM('ANGKUTAN PENYEBRANGAN'!E104)</f>
        <v>0</v>
      </c>
      <c r="N104" s="29">
        <f>SUM(PERINTIS!G104,PELRA!G104,'ANGKUTAN LAUT DALAM NEGERI'!G104,'ANGKUTAN LAUT LUAR NEGERI'!G104)</f>
        <v>0</v>
      </c>
      <c r="O104" s="29">
        <f>SUM(PERINTIS!H104,PELRA!H104,'ANGKUTAN LAUT DALAM NEGERI'!H104,'ANGKUTAN LAUT LUAR NEGERI'!H104)</f>
        <v>0</v>
      </c>
      <c r="P104" s="31">
        <f>SUM(PELRA!J104)</f>
        <v>0</v>
      </c>
      <c r="Q104" s="29">
        <f>SUM(PERINTIS!M104,'ANGKUTAN PENYEBRANGAN'!H104)</f>
        <v>0</v>
      </c>
      <c r="R104" s="29">
        <f>SUM('ANGKUTAN PENYEBRANGAN'!G104)</f>
        <v>0</v>
      </c>
      <c r="S104" s="29">
        <f>SUM('ANGKUTAN LAUT LUAR NEGERI'!I104,'ANGKUTAN LAUT DALAM NEGERI'!I104,PELRA!K104,PERINTIS!I104,'ANGKUTAN PENYEBRANGAN'!I104)</f>
        <v>0</v>
      </c>
      <c r="T104" s="31">
        <f>SUM('ANGKUTAN LAUT LUAR NEGERI'!J104,'ANGKUTAN LAUT DALAM NEGERI'!J104,PELRA!L104,PERINTIS!J104,'ANGKUTAN PENYEBRANGAN'!J104)</f>
        <v>0</v>
      </c>
      <c r="U104" s="32">
        <f>SUM('ANGKUTAN LAUT LUAR NEGERI'!K104,'ANGKUTAN LAUT DALAM NEGERI'!K104,PELRA!M104,PERINTIS!K104,'ANGKUTAN PENYEBRANGAN'!K104)</f>
        <v>0</v>
      </c>
    </row>
    <row r="105" spans="1:21">
      <c r="A105" s="28" t="s">
        <v>20</v>
      </c>
      <c r="B105" s="29">
        <f>SUM('ANGKUTAN LAUT LUAR NEGERI'!C105)</f>
        <v>0</v>
      </c>
      <c r="C105" s="29">
        <f>SUM('ANGKUTAN LAUT DALAM NEGERI'!C105)</f>
        <v>0</v>
      </c>
      <c r="D105" s="29">
        <f>SUM(PELRA!C105)</f>
        <v>0</v>
      </c>
      <c r="E105" s="29">
        <f>SUM(PERINTIS!C105)</f>
        <v>0</v>
      </c>
      <c r="F105" s="29">
        <f>SUM('ANGKUTAN PENYEBRANGAN'!C105)</f>
        <v>0</v>
      </c>
      <c r="G105" s="29">
        <f t="shared" si="15"/>
        <v>0</v>
      </c>
      <c r="H105" s="30">
        <f>SUM('ANGKUTAN LAUT LUAR NEGERI'!D105,'ANGKUTAN LAUT DALAM NEGERI'!D105,PELRA!D105,PERINTIS!D105,'ANGKUTAN PENYEBRANGAN'!D105)</f>
        <v>0</v>
      </c>
      <c r="I105" s="30">
        <f>SUM(PERINTIS!E105,PELRA!E105,'ANGKUTAN LAUT DALAM NEGERI'!E105,'ANGKUTAN LAUT LUAR NEGERI'!E105)</f>
        <v>0</v>
      </c>
      <c r="J105" s="30">
        <f>SUM(PERINTIS!F105,PELRA!F105,'ANGKUTAN LAUT DALAM NEGERI'!F105,'ANGKUTAN LAUT LUAR NEGERI'!F105)</f>
        <v>0</v>
      </c>
      <c r="K105" s="29">
        <f>SUM(PELRA!I105)</f>
        <v>0</v>
      </c>
      <c r="L105" s="29">
        <f>SUM(PERINTIS!L105,'ANGKUTAN PENYEBRANGAN'!F105)</f>
        <v>0</v>
      </c>
      <c r="M105" s="29">
        <f>SUM('ANGKUTAN PENYEBRANGAN'!E105)</f>
        <v>0</v>
      </c>
      <c r="N105" s="29">
        <f>SUM(PERINTIS!G105,PELRA!G105,'ANGKUTAN LAUT DALAM NEGERI'!G105,'ANGKUTAN LAUT LUAR NEGERI'!G105)</f>
        <v>0</v>
      </c>
      <c r="O105" s="29">
        <f>SUM(PERINTIS!H105,PELRA!H105,'ANGKUTAN LAUT DALAM NEGERI'!H105,'ANGKUTAN LAUT LUAR NEGERI'!H105)</f>
        <v>0</v>
      </c>
      <c r="P105" s="31">
        <f>SUM(PELRA!J105)</f>
        <v>0</v>
      </c>
      <c r="Q105" s="29">
        <f>SUM(PERINTIS!M105,'ANGKUTAN PENYEBRANGAN'!H105)</f>
        <v>0</v>
      </c>
      <c r="R105" s="29">
        <f>SUM('ANGKUTAN PENYEBRANGAN'!G105)</f>
        <v>0</v>
      </c>
      <c r="S105" s="29">
        <f>SUM('ANGKUTAN LAUT LUAR NEGERI'!I105,'ANGKUTAN LAUT DALAM NEGERI'!I105,PELRA!K105,PERINTIS!I105,'ANGKUTAN PENYEBRANGAN'!I105)</f>
        <v>0</v>
      </c>
      <c r="T105" s="31">
        <f>SUM('ANGKUTAN LAUT LUAR NEGERI'!J105,'ANGKUTAN LAUT DALAM NEGERI'!J105,PELRA!L105,PERINTIS!J105,'ANGKUTAN PENYEBRANGAN'!J105)</f>
        <v>0</v>
      </c>
      <c r="U105" s="32">
        <f>SUM('ANGKUTAN LAUT LUAR NEGERI'!K105,'ANGKUTAN LAUT DALAM NEGERI'!K105,PELRA!M105,PERINTIS!K105,'ANGKUTAN PENYEBRANGAN'!K105)</f>
        <v>0</v>
      </c>
    </row>
    <row r="106" spans="1:21">
      <c r="A106" s="33" t="s">
        <v>21</v>
      </c>
      <c r="B106" s="29">
        <f>SUM('ANGKUTAN LAUT LUAR NEGERI'!C106)</f>
        <v>0</v>
      </c>
      <c r="C106" s="29">
        <f>SUM('ANGKUTAN LAUT DALAM NEGERI'!C106)</f>
        <v>0</v>
      </c>
      <c r="D106" s="29">
        <f>SUM(PELRA!C106)</f>
        <v>0</v>
      </c>
      <c r="E106" s="29">
        <f>SUM(PERINTIS!C106)</f>
        <v>0</v>
      </c>
      <c r="F106" s="29">
        <f>SUM('ANGKUTAN PENYEBRANGAN'!C106)</f>
        <v>0</v>
      </c>
      <c r="G106" s="29">
        <f t="shared" si="15"/>
        <v>0</v>
      </c>
      <c r="H106" s="30">
        <f>SUM('ANGKUTAN LAUT LUAR NEGERI'!D106,'ANGKUTAN LAUT DALAM NEGERI'!D106,PELRA!D106,PERINTIS!D106,'ANGKUTAN PENYEBRANGAN'!D106)</f>
        <v>0</v>
      </c>
      <c r="I106" s="30">
        <f>SUM(PERINTIS!E106,PELRA!E106,'ANGKUTAN LAUT DALAM NEGERI'!E106,'ANGKUTAN LAUT LUAR NEGERI'!E106)</f>
        <v>0</v>
      </c>
      <c r="J106" s="30">
        <f>SUM(PERINTIS!F106,PELRA!F106,'ANGKUTAN LAUT DALAM NEGERI'!F106,'ANGKUTAN LAUT LUAR NEGERI'!F106)</f>
        <v>0</v>
      </c>
      <c r="K106" s="29">
        <f>SUM(PELRA!I106)</f>
        <v>0</v>
      </c>
      <c r="L106" s="29">
        <f>SUM(PERINTIS!L106,'ANGKUTAN PENYEBRANGAN'!F106)</f>
        <v>0</v>
      </c>
      <c r="M106" s="29">
        <f>SUM('ANGKUTAN PENYEBRANGAN'!E106)</f>
        <v>0</v>
      </c>
      <c r="N106" s="29">
        <f>SUM(PERINTIS!G106,PELRA!G106,'ANGKUTAN LAUT DALAM NEGERI'!G106,'ANGKUTAN LAUT LUAR NEGERI'!G106)</f>
        <v>0</v>
      </c>
      <c r="O106" s="29">
        <f>SUM(PERINTIS!H106,PELRA!H106,'ANGKUTAN LAUT DALAM NEGERI'!H106,'ANGKUTAN LAUT LUAR NEGERI'!H106)</f>
        <v>0</v>
      </c>
      <c r="P106" s="31">
        <f>SUM(PELRA!J106)</f>
        <v>0</v>
      </c>
      <c r="Q106" s="29">
        <f>SUM(PERINTIS!M106,'ANGKUTAN PENYEBRANGAN'!H106)</f>
        <v>0</v>
      </c>
      <c r="R106" s="29">
        <f>SUM('ANGKUTAN PENYEBRANGAN'!G106)</f>
        <v>0</v>
      </c>
      <c r="S106" s="29">
        <f>SUM('ANGKUTAN LAUT LUAR NEGERI'!I106,'ANGKUTAN LAUT DALAM NEGERI'!I106,PELRA!K106,PERINTIS!I106,'ANGKUTAN PENYEBRANGAN'!I106)</f>
        <v>0</v>
      </c>
      <c r="T106" s="31">
        <f>SUM('ANGKUTAN LAUT LUAR NEGERI'!J106,'ANGKUTAN LAUT DALAM NEGERI'!J106,PELRA!L106,PERINTIS!J106,'ANGKUTAN PENYEBRANGAN'!J106)</f>
        <v>0</v>
      </c>
      <c r="U106" s="32">
        <f>SUM('ANGKUTAN LAUT LUAR NEGERI'!K106,'ANGKUTAN LAUT DALAM NEGERI'!K106,PELRA!M106,PERINTIS!K106,'ANGKUTAN PENYEBRANGAN'!K106)</f>
        <v>0</v>
      </c>
    </row>
    <row r="107" spans="1:21">
      <c r="A107" s="33" t="s">
        <v>22</v>
      </c>
      <c r="B107" s="29">
        <f>SUM('ANGKUTAN LAUT LUAR NEGERI'!C107)</f>
        <v>0</v>
      </c>
      <c r="C107" s="29">
        <f>SUM('ANGKUTAN LAUT DALAM NEGERI'!C107)</f>
        <v>0</v>
      </c>
      <c r="D107" s="29">
        <f>SUM(PELRA!C107)</f>
        <v>0</v>
      </c>
      <c r="E107" s="29">
        <f>SUM(PERINTIS!C107)</f>
        <v>0</v>
      </c>
      <c r="F107" s="29">
        <f>SUM('ANGKUTAN PENYEBRANGAN'!C107)</f>
        <v>0</v>
      </c>
      <c r="G107" s="29">
        <f t="shared" si="15"/>
        <v>0</v>
      </c>
      <c r="H107" s="30">
        <f>SUM('ANGKUTAN LAUT LUAR NEGERI'!D107,'ANGKUTAN LAUT DALAM NEGERI'!D107,PELRA!D107,PERINTIS!D107,'ANGKUTAN PENYEBRANGAN'!D107)</f>
        <v>0</v>
      </c>
      <c r="I107" s="30">
        <f>SUM(PERINTIS!E107,PELRA!E107,'ANGKUTAN LAUT DALAM NEGERI'!E107,'ANGKUTAN LAUT LUAR NEGERI'!E107)</f>
        <v>0</v>
      </c>
      <c r="J107" s="30">
        <f>SUM(PERINTIS!F107,PELRA!F107,'ANGKUTAN LAUT DALAM NEGERI'!F107,'ANGKUTAN LAUT LUAR NEGERI'!F107)</f>
        <v>0</v>
      </c>
      <c r="K107" s="29">
        <f>SUM(PELRA!I107)</f>
        <v>0</v>
      </c>
      <c r="L107" s="29">
        <f>SUM(PERINTIS!L107,'ANGKUTAN PENYEBRANGAN'!F107)</f>
        <v>0</v>
      </c>
      <c r="M107" s="29">
        <f>SUM('ANGKUTAN PENYEBRANGAN'!E107)</f>
        <v>0</v>
      </c>
      <c r="N107" s="29">
        <f>SUM(PERINTIS!G107,PELRA!G107,'ANGKUTAN LAUT DALAM NEGERI'!G107,'ANGKUTAN LAUT LUAR NEGERI'!G107)</f>
        <v>0</v>
      </c>
      <c r="O107" s="29">
        <f>SUM(PERINTIS!H107,PELRA!H107,'ANGKUTAN LAUT DALAM NEGERI'!H107,'ANGKUTAN LAUT LUAR NEGERI'!H107)</f>
        <v>0</v>
      </c>
      <c r="P107" s="31">
        <f>SUM(PELRA!J107)</f>
        <v>0</v>
      </c>
      <c r="Q107" s="29">
        <f>SUM(PERINTIS!M107,'ANGKUTAN PENYEBRANGAN'!H107)</f>
        <v>0</v>
      </c>
      <c r="R107" s="29">
        <f>SUM('ANGKUTAN PENYEBRANGAN'!G107)</f>
        <v>0</v>
      </c>
      <c r="S107" s="29">
        <f>SUM('ANGKUTAN LAUT LUAR NEGERI'!I107,'ANGKUTAN LAUT DALAM NEGERI'!I107,PELRA!K107,PERINTIS!I107,'ANGKUTAN PENYEBRANGAN'!I107)</f>
        <v>0</v>
      </c>
      <c r="T107" s="31">
        <f>SUM('ANGKUTAN LAUT LUAR NEGERI'!J107,'ANGKUTAN LAUT DALAM NEGERI'!J107,PELRA!L107,PERINTIS!J107,'ANGKUTAN PENYEBRANGAN'!J107)</f>
        <v>0</v>
      </c>
      <c r="U107" s="32">
        <f>SUM('ANGKUTAN LAUT LUAR NEGERI'!K107,'ANGKUTAN LAUT DALAM NEGERI'!K107,PELRA!M107,PERINTIS!K107,'ANGKUTAN PENYEBRANGAN'!K107)</f>
        <v>0</v>
      </c>
    </row>
    <row r="108" spans="1:21">
      <c r="A108" s="33" t="s">
        <v>23</v>
      </c>
      <c r="B108" s="29">
        <f>SUM('ANGKUTAN LAUT LUAR NEGERI'!C108)</f>
        <v>0</v>
      </c>
      <c r="C108" s="29">
        <f>SUM('ANGKUTAN LAUT DALAM NEGERI'!C108)</f>
        <v>0</v>
      </c>
      <c r="D108" s="29">
        <f>SUM(PELRA!C108)</f>
        <v>0</v>
      </c>
      <c r="E108" s="29">
        <f>SUM(PERINTIS!C108)</f>
        <v>0</v>
      </c>
      <c r="F108" s="29">
        <f>SUM('ANGKUTAN PENYEBRANGAN'!C108)</f>
        <v>0</v>
      </c>
      <c r="G108" s="29">
        <f t="shared" si="15"/>
        <v>0</v>
      </c>
      <c r="H108" s="30">
        <f>SUM('ANGKUTAN LAUT LUAR NEGERI'!D108,'ANGKUTAN LAUT DALAM NEGERI'!D108,PELRA!D108,PERINTIS!D108,'ANGKUTAN PENYEBRANGAN'!D108)</f>
        <v>0</v>
      </c>
      <c r="I108" s="30">
        <f>SUM(PERINTIS!E108,PELRA!E108,'ANGKUTAN LAUT DALAM NEGERI'!E108,'ANGKUTAN LAUT LUAR NEGERI'!E108)</f>
        <v>0</v>
      </c>
      <c r="J108" s="30">
        <f>SUM(PERINTIS!F108,PELRA!F108,'ANGKUTAN LAUT DALAM NEGERI'!F108,'ANGKUTAN LAUT LUAR NEGERI'!F108)</f>
        <v>0</v>
      </c>
      <c r="K108" s="29">
        <f>SUM(PELRA!I108)</f>
        <v>0</v>
      </c>
      <c r="L108" s="29">
        <f>SUM(PERINTIS!L108,'ANGKUTAN PENYEBRANGAN'!F108)</f>
        <v>0</v>
      </c>
      <c r="M108" s="29">
        <f>SUM('ANGKUTAN PENYEBRANGAN'!E108)</f>
        <v>0</v>
      </c>
      <c r="N108" s="29">
        <f>SUM(PERINTIS!G108,PELRA!G108,'ANGKUTAN LAUT DALAM NEGERI'!G108,'ANGKUTAN LAUT LUAR NEGERI'!G108)</f>
        <v>0</v>
      </c>
      <c r="O108" s="29">
        <f>SUM(PERINTIS!H108,PELRA!H108,'ANGKUTAN LAUT DALAM NEGERI'!H108,'ANGKUTAN LAUT LUAR NEGERI'!H108)</f>
        <v>0</v>
      </c>
      <c r="P108" s="31">
        <f>SUM(PELRA!J108)</f>
        <v>0</v>
      </c>
      <c r="Q108" s="29">
        <f>SUM(PERINTIS!M108,'ANGKUTAN PENYEBRANGAN'!H108)</f>
        <v>0</v>
      </c>
      <c r="R108" s="29">
        <f>SUM('ANGKUTAN PENYEBRANGAN'!G108)</f>
        <v>0</v>
      </c>
      <c r="S108" s="29">
        <f>SUM('ANGKUTAN LAUT LUAR NEGERI'!I108,'ANGKUTAN LAUT DALAM NEGERI'!I108,PELRA!K108,PERINTIS!I108,'ANGKUTAN PENYEBRANGAN'!I108)</f>
        <v>0</v>
      </c>
      <c r="T108" s="31">
        <f>SUM('ANGKUTAN LAUT LUAR NEGERI'!J108,'ANGKUTAN LAUT DALAM NEGERI'!J108,PELRA!L108,PERINTIS!J108,'ANGKUTAN PENYEBRANGAN'!J108)</f>
        <v>0</v>
      </c>
      <c r="U108" s="32">
        <f>SUM('ANGKUTAN LAUT LUAR NEGERI'!K108,'ANGKUTAN LAUT DALAM NEGERI'!K108,PELRA!M108,PERINTIS!K108,'ANGKUTAN PENYEBRANGAN'!K108)</f>
        <v>0</v>
      </c>
    </row>
    <row r="109" spans="1:21">
      <c r="A109" s="33" t="s">
        <v>24</v>
      </c>
      <c r="B109" s="29">
        <f>SUM('ANGKUTAN LAUT LUAR NEGERI'!C109)</f>
        <v>0</v>
      </c>
      <c r="C109" s="29">
        <f>SUM('ANGKUTAN LAUT DALAM NEGERI'!C109)</f>
        <v>0</v>
      </c>
      <c r="D109" s="29">
        <f>SUM(PELRA!C109)</f>
        <v>0</v>
      </c>
      <c r="E109" s="29">
        <f>SUM(PERINTIS!C109)</f>
        <v>0</v>
      </c>
      <c r="F109" s="29">
        <f>SUM('ANGKUTAN PENYEBRANGAN'!C109)</f>
        <v>0</v>
      </c>
      <c r="G109" s="29">
        <f t="shared" si="15"/>
        <v>0</v>
      </c>
      <c r="H109" s="30">
        <f>SUM('ANGKUTAN LAUT LUAR NEGERI'!D109,'ANGKUTAN LAUT DALAM NEGERI'!D109,PELRA!D109,PERINTIS!D109,'ANGKUTAN PENYEBRANGAN'!D109)</f>
        <v>0</v>
      </c>
      <c r="I109" s="30">
        <f>SUM(PERINTIS!E109,PELRA!E109,'ANGKUTAN LAUT DALAM NEGERI'!E109,'ANGKUTAN LAUT LUAR NEGERI'!E109)</f>
        <v>0</v>
      </c>
      <c r="J109" s="30">
        <f>SUM(PERINTIS!F109,PELRA!F109,'ANGKUTAN LAUT DALAM NEGERI'!F109,'ANGKUTAN LAUT LUAR NEGERI'!F109)</f>
        <v>0</v>
      </c>
      <c r="K109" s="29">
        <f>SUM(PELRA!I109)</f>
        <v>0</v>
      </c>
      <c r="L109" s="29">
        <f>SUM(PERINTIS!L109,'ANGKUTAN PENYEBRANGAN'!F109)</f>
        <v>0</v>
      </c>
      <c r="M109" s="29">
        <f>SUM('ANGKUTAN PENYEBRANGAN'!E109)</f>
        <v>0</v>
      </c>
      <c r="N109" s="29">
        <f>SUM(PERINTIS!G109,PELRA!G109,'ANGKUTAN LAUT DALAM NEGERI'!G109,'ANGKUTAN LAUT LUAR NEGERI'!G109)</f>
        <v>0</v>
      </c>
      <c r="O109" s="29">
        <f>SUM(PERINTIS!H109,PELRA!H109,'ANGKUTAN LAUT DALAM NEGERI'!H109,'ANGKUTAN LAUT LUAR NEGERI'!H109)</f>
        <v>0</v>
      </c>
      <c r="P109" s="31">
        <f>SUM(PELRA!J109)</f>
        <v>0</v>
      </c>
      <c r="Q109" s="29">
        <f>SUM(PERINTIS!M109,'ANGKUTAN PENYEBRANGAN'!H109)</f>
        <v>0</v>
      </c>
      <c r="R109" s="29">
        <f>SUM('ANGKUTAN PENYEBRANGAN'!G109)</f>
        <v>0</v>
      </c>
      <c r="S109" s="29">
        <f>SUM('ANGKUTAN LAUT LUAR NEGERI'!I109,'ANGKUTAN LAUT DALAM NEGERI'!I109,PELRA!K109,PERINTIS!I109,'ANGKUTAN PENYEBRANGAN'!I109)</f>
        <v>0</v>
      </c>
      <c r="T109" s="31">
        <f>SUM('ANGKUTAN LAUT LUAR NEGERI'!J109,'ANGKUTAN LAUT DALAM NEGERI'!J109,PELRA!L109,PERINTIS!J109,'ANGKUTAN PENYEBRANGAN'!J109)</f>
        <v>0</v>
      </c>
      <c r="U109" s="32">
        <f>SUM('ANGKUTAN LAUT LUAR NEGERI'!K109,'ANGKUTAN LAUT DALAM NEGERI'!K109,PELRA!M109,PERINTIS!K109,'ANGKUTAN PENYEBRANGAN'!K109)</f>
        <v>0</v>
      </c>
    </row>
    <row r="110" ht="14.25" spans="1:21">
      <c r="A110" s="35" t="s">
        <v>25</v>
      </c>
      <c r="B110" s="29">
        <f>SUM('ANGKUTAN LAUT LUAR NEGERI'!C110)</f>
        <v>0</v>
      </c>
      <c r="C110" s="36">
        <f>SUM('ANGKUTAN LAUT DALAM NEGERI'!C110)</f>
        <v>0</v>
      </c>
      <c r="D110" s="29">
        <f>SUM(PELRA!C110)</f>
        <v>0</v>
      </c>
      <c r="E110" s="29">
        <f>SUM(PERINTIS!C110)</f>
        <v>0</v>
      </c>
      <c r="F110" s="29">
        <f>SUM('ANGKUTAN PENYEBRANGAN'!C110)</f>
        <v>0</v>
      </c>
      <c r="G110" s="29">
        <f t="shared" si="15"/>
        <v>0</v>
      </c>
      <c r="H110" s="30">
        <f>SUM('ANGKUTAN LAUT LUAR NEGERI'!D110,'ANGKUTAN LAUT DALAM NEGERI'!D110,PELRA!D110,PERINTIS!D110,'ANGKUTAN PENYEBRANGAN'!D110)</f>
        <v>0</v>
      </c>
      <c r="I110" s="37">
        <f>SUM(PERINTIS!E110,PELRA!E110,'ANGKUTAN LAUT DALAM NEGERI'!E110,'ANGKUTAN LAUT LUAR NEGERI'!E110)</f>
        <v>0</v>
      </c>
      <c r="J110" s="37">
        <f>SUM(PERINTIS!F110,PELRA!F110,'ANGKUTAN LAUT DALAM NEGERI'!F110,'ANGKUTAN LAUT LUAR NEGERI'!F110)</f>
        <v>0</v>
      </c>
      <c r="K110" s="29">
        <f>SUM(PELRA!I110)</f>
        <v>0</v>
      </c>
      <c r="L110" s="29">
        <f>SUM(PERINTIS!L110,'ANGKUTAN PENYEBRANGAN'!F110)</f>
        <v>0</v>
      </c>
      <c r="M110" s="29">
        <f>SUM('ANGKUTAN PENYEBRANGAN'!E110)</f>
        <v>0</v>
      </c>
      <c r="N110" s="36">
        <f>SUM(PERINTIS!G110,PELRA!G110,'ANGKUTAN LAUT DALAM NEGERI'!G110,'ANGKUTAN LAUT LUAR NEGERI'!G110)</f>
        <v>0</v>
      </c>
      <c r="O110" s="36">
        <f>SUM(PERINTIS!H110,PELRA!H110,'ANGKUTAN LAUT DALAM NEGERI'!H110,'ANGKUTAN LAUT LUAR NEGERI'!H110)</f>
        <v>0</v>
      </c>
      <c r="P110" s="31">
        <f>SUM(PELRA!J110)</f>
        <v>0</v>
      </c>
      <c r="Q110" s="29">
        <f>SUM(PERINTIS!M110,'ANGKUTAN PENYEBRANGAN'!H110)</f>
        <v>0</v>
      </c>
      <c r="R110" s="29">
        <f>SUM('ANGKUTAN PENYEBRANGAN'!G110)</f>
        <v>0</v>
      </c>
      <c r="S110" s="29">
        <f>SUM('ANGKUTAN LAUT LUAR NEGERI'!I110,'ANGKUTAN LAUT DALAM NEGERI'!I110,PELRA!K110,PERINTIS!I110,'ANGKUTAN PENYEBRANGAN'!I110)</f>
        <v>0</v>
      </c>
      <c r="T110" s="31">
        <f>SUM('ANGKUTAN LAUT LUAR NEGERI'!J110,'ANGKUTAN LAUT DALAM NEGERI'!J110,PELRA!L110,PERINTIS!J110,'ANGKUTAN PENYEBRANGAN'!J110)</f>
        <v>0</v>
      </c>
      <c r="U110" s="32">
        <f>SUM('ANGKUTAN LAUT LUAR NEGERI'!K110,'ANGKUTAN LAUT DALAM NEGERI'!K110,PELRA!M110,PERINTIS!K110,'ANGKUTAN PENYEBRANGAN'!K110)</f>
        <v>0</v>
      </c>
    </row>
    <row r="111" ht="15" spans="1:21">
      <c r="A111" s="40" t="s">
        <v>26</v>
      </c>
      <c r="B111" s="41">
        <f t="shared" ref="B111:U111" si="16">SUM(B99:B110)</f>
        <v>0</v>
      </c>
      <c r="C111" s="41">
        <f t="shared" si="16"/>
        <v>2</v>
      </c>
      <c r="D111" s="41">
        <f t="shared" si="16"/>
        <v>1</v>
      </c>
      <c r="E111" s="41">
        <f t="shared" si="16"/>
        <v>10</v>
      </c>
      <c r="F111" s="41">
        <f t="shared" si="16"/>
        <v>20</v>
      </c>
      <c r="G111" s="41">
        <f t="shared" si="16"/>
        <v>33</v>
      </c>
      <c r="H111" s="41">
        <f t="shared" si="16"/>
        <v>38622</v>
      </c>
      <c r="I111" s="41">
        <f t="shared" si="16"/>
        <v>368</v>
      </c>
      <c r="J111" s="41">
        <f t="shared" si="16"/>
        <v>0</v>
      </c>
      <c r="K111" s="41">
        <f t="shared" si="16"/>
        <v>0</v>
      </c>
      <c r="L111" s="41">
        <f t="shared" si="16"/>
        <v>0</v>
      </c>
      <c r="M111" s="41">
        <f t="shared" si="16"/>
        <v>0</v>
      </c>
      <c r="N111" s="41">
        <f t="shared" si="16"/>
        <v>0</v>
      </c>
      <c r="O111" s="41">
        <f t="shared" si="16"/>
        <v>0</v>
      </c>
      <c r="P111" s="41">
        <f t="shared" si="16"/>
        <v>0</v>
      </c>
      <c r="Q111" s="41">
        <f t="shared" si="16"/>
        <v>0</v>
      </c>
      <c r="R111" s="41">
        <f t="shared" si="16"/>
        <v>0</v>
      </c>
      <c r="S111" s="41">
        <f t="shared" si="16"/>
        <v>324</v>
      </c>
      <c r="T111" s="42">
        <f t="shared" ref="T111" si="17">SUM(T99:T110)</f>
        <v>305</v>
      </c>
      <c r="U111" s="43">
        <f t="shared" si="16"/>
        <v>3127</v>
      </c>
    </row>
    <row r="112" ht="15"/>
    <row r="113" ht="15" spans="1:21">
      <c r="A113" s="51" t="s">
        <v>46</v>
      </c>
      <c r="B113" s="52">
        <f>SUM(B21,B39,B57,B75,B93,B111)</f>
        <v>1</v>
      </c>
      <c r="C113" s="52">
        <f t="shared" ref="C113:U113" si="18">SUM(C21,C39,C57,C75,C93,C111)</f>
        <v>6</v>
      </c>
      <c r="D113" s="52">
        <f t="shared" si="18"/>
        <v>54</v>
      </c>
      <c r="E113" s="52">
        <f t="shared" si="18"/>
        <v>76</v>
      </c>
      <c r="F113" s="52">
        <f t="shared" si="18"/>
        <v>108</v>
      </c>
      <c r="G113" s="52">
        <f t="shared" si="18"/>
        <v>245</v>
      </c>
      <c r="H113" s="52">
        <f t="shared" si="18"/>
        <v>234490</v>
      </c>
      <c r="I113" s="52">
        <f t="shared" si="18"/>
        <v>1625</v>
      </c>
      <c r="J113" s="52">
        <f t="shared" si="18"/>
        <v>960</v>
      </c>
      <c r="K113" s="52">
        <f t="shared" si="18"/>
        <v>0</v>
      </c>
      <c r="L113" s="52">
        <f t="shared" si="18"/>
        <v>425</v>
      </c>
      <c r="M113" s="52">
        <f t="shared" si="18"/>
        <v>54</v>
      </c>
      <c r="N113" s="52">
        <f t="shared" si="18"/>
        <v>932</v>
      </c>
      <c r="O113" s="52">
        <f t="shared" si="18"/>
        <v>0</v>
      </c>
      <c r="P113" s="52">
        <f t="shared" si="18"/>
        <v>110</v>
      </c>
      <c r="Q113" s="52">
        <f t="shared" si="18"/>
        <v>284</v>
      </c>
      <c r="R113" s="52">
        <f t="shared" si="18"/>
        <v>46</v>
      </c>
      <c r="S113" s="52">
        <f t="shared" si="18"/>
        <v>6032</v>
      </c>
      <c r="T113" s="53">
        <f t="shared" si="18"/>
        <v>3603</v>
      </c>
      <c r="U113" s="54">
        <f t="shared" si="18"/>
        <v>9535</v>
      </c>
    </row>
    <row r="114" ht="14.25"/>
  </sheetData>
  <mergeCells count="123">
    <mergeCell ref="A1:U1"/>
    <mergeCell ref="A2:U2"/>
    <mergeCell ref="A3:U3"/>
    <mergeCell ref="A5:U5"/>
    <mergeCell ref="B6:F6"/>
    <mergeCell ref="G6:H6"/>
    <mergeCell ref="I6:M6"/>
    <mergeCell ref="N6:R6"/>
    <mergeCell ref="S6:U6"/>
    <mergeCell ref="I7:J7"/>
    <mergeCell ref="L7:M7"/>
    <mergeCell ref="N7:O7"/>
    <mergeCell ref="Q7:R7"/>
    <mergeCell ref="A23:U23"/>
    <mergeCell ref="B24:F24"/>
    <mergeCell ref="G24:H24"/>
    <mergeCell ref="I24:M24"/>
    <mergeCell ref="N24:R24"/>
    <mergeCell ref="S24:U24"/>
    <mergeCell ref="I25:J25"/>
    <mergeCell ref="L25:M25"/>
    <mergeCell ref="N25:O25"/>
    <mergeCell ref="Q25:R25"/>
    <mergeCell ref="A41:U41"/>
    <mergeCell ref="B42:F42"/>
    <mergeCell ref="G42:H42"/>
    <mergeCell ref="I42:M42"/>
    <mergeCell ref="N42:R42"/>
    <mergeCell ref="S42:U42"/>
    <mergeCell ref="I43:J43"/>
    <mergeCell ref="L43:M43"/>
    <mergeCell ref="N43:O43"/>
    <mergeCell ref="Q43:R43"/>
    <mergeCell ref="A59:U59"/>
    <mergeCell ref="B60:F60"/>
    <mergeCell ref="G60:H60"/>
    <mergeCell ref="I60:M60"/>
    <mergeCell ref="N60:R60"/>
    <mergeCell ref="S60:U60"/>
    <mergeCell ref="I61:J61"/>
    <mergeCell ref="L61:M61"/>
    <mergeCell ref="N61:O61"/>
    <mergeCell ref="Q61:R61"/>
    <mergeCell ref="A77:U77"/>
    <mergeCell ref="B78:F78"/>
    <mergeCell ref="G78:H78"/>
    <mergeCell ref="I78:M78"/>
    <mergeCell ref="N78:R78"/>
    <mergeCell ref="S78:U78"/>
    <mergeCell ref="I79:J79"/>
    <mergeCell ref="L79:M79"/>
    <mergeCell ref="N79:O79"/>
    <mergeCell ref="Q79:R79"/>
    <mergeCell ref="A95:U95"/>
    <mergeCell ref="B96:F96"/>
    <mergeCell ref="G96:H96"/>
    <mergeCell ref="I96:M96"/>
    <mergeCell ref="N96:R96"/>
    <mergeCell ref="S96:U96"/>
    <mergeCell ref="I97:J97"/>
    <mergeCell ref="L97:M97"/>
    <mergeCell ref="N97:O97"/>
    <mergeCell ref="Q97:R97"/>
    <mergeCell ref="A6:A8"/>
    <mergeCell ref="A24:A26"/>
    <mergeCell ref="A42:A44"/>
    <mergeCell ref="A60:A62"/>
    <mergeCell ref="A78:A80"/>
    <mergeCell ref="A96:A98"/>
    <mergeCell ref="B7:B8"/>
    <mergeCell ref="B25:B26"/>
    <mergeCell ref="B43:B44"/>
    <mergeCell ref="B61:B62"/>
    <mergeCell ref="B79:B80"/>
    <mergeCell ref="B97:B98"/>
    <mergeCell ref="C7:C8"/>
    <mergeCell ref="C25:C26"/>
    <mergeCell ref="C43:C44"/>
    <mergeCell ref="C61:C62"/>
    <mergeCell ref="C79:C80"/>
    <mergeCell ref="C97:C98"/>
    <mergeCell ref="D7:D8"/>
    <mergeCell ref="D25:D26"/>
    <mergeCell ref="D43:D44"/>
    <mergeCell ref="D61:D62"/>
    <mergeCell ref="D79:D80"/>
    <mergeCell ref="D97:D98"/>
    <mergeCell ref="E7:E8"/>
    <mergeCell ref="E25:E26"/>
    <mergeCell ref="E43:E44"/>
    <mergeCell ref="E61:E62"/>
    <mergeCell ref="E79:E80"/>
    <mergeCell ref="E97:E98"/>
    <mergeCell ref="F7:F8"/>
    <mergeCell ref="F25:F26"/>
    <mergeCell ref="F43:F44"/>
    <mergeCell ref="F61:F62"/>
    <mergeCell ref="F79:F80"/>
    <mergeCell ref="F97:F98"/>
    <mergeCell ref="G7:G8"/>
    <mergeCell ref="G25:G26"/>
    <mergeCell ref="G43:G44"/>
    <mergeCell ref="G61:G62"/>
    <mergeCell ref="G79:G80"/>
    <mergeCell ref="G97:G98"/>
    <mergeCell ref="H7:H8"/>
    <mergeCell ref="H25:H26"/>
    <mergeCell ref="H43:H44"/>
    <mergeCell ref="H61:H62"/>
    <mergeCell ref="H79:H80"/>
    <mergeCell ref="H97:H98"/>
    <mergeCell ref="K7:K8"/>
    <mergeCell ref="K25:K26"/>
    <mergeCell ref="K43:K44"/>
    <mergeCell ref="K61:K62"/>
    <mergeCell ref="K79:K80"/>
    <mergeCell ref="K97:K98"/>
    <mergeCell ref="P7:P8"/>
    <mergeCell ref="P25:P26"/>
    <mergeCell ref="P43:P44"/>
    <mergeCell ref="P61:P62"/>
    <mergeCell ref="P79:P80"/>
    <mergeCell ref="P97:P98"/>
  </mergeCells>
  <printOptions horizontalCentered="1"/>
  <pageMargins left="0.236220472440945" right="0.236220472440945" top="0.748031496062992" bottom="0.748031496062992" header="0.31496062992126" footer="0.31496062992126"/>
  <pageSetup paperSize="10002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REKAP PENGELUARAN SPB 2026</vt:lpstr>
      <vt:lpstr>PELRA</vt:lpstr>
      <vt:lpstr>PERINTIS</vt:lpstr>
      <vt:lpstr>ANGKUTAN PENYEBRANGAN</vt:lpstr>
      <vt:lpstr>ANGKUTAN LAUT DALAM NEGERI</vt:lpstr>
      <vt:lpstr>ANGKUTAN LAUT LUAR NEGERI</vt:lpstr>
      <vt:lpstr>REKAP LAP. OPERASIONAL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Windows_10</dc:creator>
  <cp:lastModifiedBy>Fais Achmad</cp:lastModifiedBy>
  <dcterms:created xsi:type="dcterms:W3CDTF">2020-02-25T05:18:00Z</dcterms:created>
  <cp:lastPrinted>2024-12-02T08:24:00Z</cp:lastPrinted>
  <dcterms:modified xsi:type="dcterms:W3CDTF">2026-03-11T14:18:40Z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06E00072FDB84183BD71246827707ABC_12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